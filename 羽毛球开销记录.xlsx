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6e674da1fecbaf/200-Life/220-Sports/222-Badminton/"/>
    </mc:Choice>
  </mc:AlternateContent>
  <xr:revisionPtr revIDLastSave="1024" documentId="8_{AD134EF6-2B5F-4B85-86EF-5CDC5C18ACFC}" xr6:coauthVersionLast="47" xr6:coauthVersionMax="47" xr10:uidLastSave="{4EB62CFD-17F4-4E87-BFDE-3485E7A70A26}"/>
  <bookViews>
    <workbookView xWindow="19200" yWindow="0" windowWidth="19200" windowHeight="21000" xr2:uid="{79B80DE2-3226-425A-B6C0-E8E4D0057243}"/>
  </bookViews>
  <sheets>
    <sheet name="年合计" sheetId="2" r:id="rId1"/>
    <sheet name="运动数据合计" sheetId="4" r:id="rId2"/>
    <sheet name="周运动数据统计" sheetId="5" r:id="rId3"/>
    <sheet name="装备明细" sheetId="3" r:id="rId4"/>
    <sheet name="运动日明细" sheetId="1" r:id="rId5"/>
  </sheets>
  <definedNames>
    <definedName name="_xlnm._FilterDatabase" localSheetId="2" hidden="1">周运动数据统计!$A$1:$I$60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G33" i="1"/>
  <c r="D6" i="2"/>
  <c r="D7" i="2"/>
  <c r="D8" i="2"/>
  <c r="C6" i="2"/>
  <c r="C7" i="2"/>
  <c r="C8" i="2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I28" i="5" s="1"/>
  <c r="C29" i="1"/>
  <c r="C30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C2" i="1"/>
  <c r="C3" i="1"/>
  <c r="C4" i="1"/>
  <c r="C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C6" i="1"/>
  <c r="C7" i="1"/>
  <c r="C8" i="1"/>
  <c r="C9" i="1"/>
  <c r="C10" i="1"/>
  <c r="C11" i="1"/>
  <c r="C12" i="1"/>
  <c r="C13" i="1"/>
  <c r="C14" i="1"/>
  <c r="C15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C60" i="5"/>
  <c r="D60" i="5"/>
  <c r="C57" i="5"/>
  <c r="D57" i="5"/>
  <c r="C58" i="5"/>
  <c r="D58" i="5"/>
  <c r="C59" i="5"/>
  <c r="D5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9" i="5"/>
  <c r="D9" i="5"/>
  <c r="C4" i="5"/>
  <c r="D4" i="5"/>
  <c r="C5" i="5"/>
  <c r="D5" i="5"/>
  <c r="C6" i="5"/>
  <c r="D6" i="5"/>
  <c r="C7" i="5"/>
  <c r="D7" i="5"/>
  <c r="C8" i="5"/>
  <c r="D8" i="5"/>
  <c r="D3" i="5"/>
  <c r="C3" i="5"/>
  <c r="I4" i="1"/>
  <c r="I7" i="1"/>
  <c r="I9" i="1"/>
  <c r="I12" i="1"/>
  <c r="F5" i="4"/>
  <c r="I14" i="1"/>
  <c r="I15" i="1"/>
  <c r="I8" i="1"/>
  <c r="I10" i="1"/>
  <c r="I13" i="1"/>
  <c r="F4" i="4"/>
  <c r="I2" i="1"/>
  <c r="I3" i="1"/>
  <c r="I5" i="1"/>
  <c r="I6" i="1"/>
  <c r="I11" i="1"/>
  <c r="I16" i="1"/>
  <c r="G3" i="4"/>
  <c r="G5" i="4"/>
  <c r="G4" i="4"/>
  <c r="F3" i="4"/>
  <c r="E3" i="4"/>
  <c r="D3" i="4"/>
  <c r="C4" i="4"/>
  <c r="D12" i="2" s="1"/>
  <c r="C5" i="4"/>
  <c r="D13" i="2" s="1"/>
  <c r="C3" i="4"/>
  <c r="D11" i="2" s="1"/>
  <c r="B5" i="4"/>
  <c r="E13" i="2" s="1"/>
  <c r="B3" i="4"/>
  <c r="E11" i="2" s="1"/>
  <c r="D9" i="2"/>
  <c r="C9" i="2"/>
  <c r="C5" i="2"/>
  <c r="C10" i="2"/>
  <c r="D5" i="2"/>
  <c r="B4" i="4"/>
  <c r="E12" i="2" s="1"/>
  <c r="D4" i="4"/>
  <c r="E4" i="4"/>
  <c r="E5" i="4"/>
  <c r="D5" i="4"/>
  <c r="I51" i="5"/>
  <c r="I13" i="5"/>
  <c r="I24" i="5"/>
  <c r="I45" i="5"/>
  <c r="I20" i="5"/>
  <c r="I8" i="5"/>
  <c r="I43" i="5"/>
  <c r="I31" i="5"/>
  <c r="F16" i="5"/>
  <c r="I54" i="5"/>
  <c r="I23" i="5"/>
  <c r="I46" i="5"/>
  <c r="I5" i="5"/>
  <c r="G15" i="5"/>
  <c r="G36" i="5"/>
  <c r="G32" i="5"/>
  <c r="G59" i="5"/>
  <c r="G55" i="5"/>
  <c r="G27" i="5"/>
  <c r="G23" i="5"/>
  <c r="F55" i="5"/>
  <c r="F51" i="5"/>
  <c r="F23" i="5"/>
  <c r="F19" i="5"/>
  <c r="E55" i="5"/>
  <c r="E51" i="5"/>
  <c r="E23" i="5"/>
  <c r="E19" i="5"/>
  <c r="G54" i="5"/>
  <c r="G50" i="5"/>
  <c r="G22" i="5"/>
  <c r="G18" i="5"/>
  <c r="F46" i="5"/>
  <c r="F42" i="5"/>
  <c r="F10" i="5"/>
  <c r="E60" i="5"/>
  <c r="E46" i="5"/>
  <c r="E42" i="5"/>
  <c r="F11" i="5"/>
  <c r="E32" i="5"/>
  <c r="G41" i="5"/>
  <c r="G37" i="5"/>
  <c r="F8" i="5"/>
  <c r="F4" i="5"/>
  <c r="F45" i="5"/>
  <c r="F33" i="5"/>
  <c r="F29" i="5"/>
  <c r="E8" i="5"/>
  <c r="E53" i="5"/>
  <c r="E49" i="5"/>
  <c r="E41" i="5"/>
  <c r="E37" i="5"/>
  <c r="E33" i="5"/>
  <c r="E21" i="5"/>
  <c r="E16" i="5"/>
  <c r="E12" i="5"/>
  <c r="F14" i="5"/>
  <c r="G11" i="5"/>
  <c r="F13" i="5"/>
  <c r="E13" i="5"/>
  <c r="G12" i="5"/>
  <c r="F12" i="5"/>
  <c r="D10" i="2"/>
  <c r="H12" i="5" l="1"/>
  <c r="C6" i="4"/>
  <c r="E11" i="5"/>
  <c r="E29" i="5"/>
  <c r="E4" i="5"/>
  <c r="F41" i="5"/>
  <c r="G17" i="5"/>
  <c r="G49" i="5"/>
  <c r="E22" i="5"/>
  <c r="E54" i="5"/>
  <c r="F22" i="5"/>
  <c r="F54" i="5"/>
  <c r="G30" i="5"/>
  <c r="G5" i="5"/>
  <c r="E31" i="5"/>
  <c r="E6" i="5"/>
  <c r="F31" i="5"/>
  <c r="F6" i="5"/>
  <c r="G35" i="5"/>
  <c r="E44" i="5"/>
  <c r="G44" i="5"/>
  <c r="I29" i="5"/>
  <c r="F48" i="5"/>
  <c r="I34" i="5"/>
  <c r="F20" i="5"/>
  <c r="I44" i="5"/>
  <c r="I10" i="5"/>
  <c r="I60" i="5"/>
  <c r="F44" i="5"/>
  <c r="I40" i="5"/>
  <c r="G21" i="5"/>
  <c r="G53" i="5"/>
  <c r="E26" i="5"/>
  <c r="E58" i="5"/>
  <c r="F26" i="5"/>
  <c r="F58" i="5"/>
  <c r="G34" i="5"/>
  <c r="G9" i="5"/>
  <c r="E35" i="5"/>
  <c r="F3" i="5"/>
  <c r="F35" i="5"/>
  <c r="G3" i="5"/>
  <c r="G39" i="5"/>
  <c r="G16" i="5"/>
  <c r="H16" i="5" s="1"/>
  <c r="G48" i="5"/>
  <c r="I41" i="5"/>
  <c r="I6" i="5"/>
  <c r="F32" i="5"/>
  <c r="H32" i="5" s="1"/>
  <c r="F24" i="5"/>
  <c r="I56" i="5"/>
  <c r="I11" i="5"/>
  <c r="E17" i="5"/>
  <c r="I14" i="5"/>
  <c r="H23" i="5"/>
  <c r="F17" i="5"/>
  <c r="F49" i="5"/>
  <c r="H49" i="5" s="1"/>
  <c r="G25" i="5"/>
  <c r="G57" i="5"/>
  <c r="E30" i="5"/>
  <c r="E5" i="5"/>
  <c r="F30" i="5"/>
  <c r="F5" i="5"/>
  <c r="G38" i="5"/>
  <c r="E36" i="5"/>
  <c r="E39" i="5"/>
  <c r="E20" i="5"/>
  <c r="F39" i="5"/>
  <c r="E28" i="5"/>
  <c r="G43" i="5"/>
  <c r="G20" i="5"/>
  <c r="G56" i="5"/>
  <c r="I53" i="5"/>
  <c r="I18" i="5"/>
  <c r="F36" i="5"/>
  <c r="I58" i="5"/>
  <c r="I9" i="5"/>
  <c r="I47" i="5"/>
  <c r="F40" i="5"/>
  <c r="I26" i="5"/>
  <c r="F53" i="5"/>
  <c r="H53" i="5" s="1"/>
  <c r="G4" i="5"/>
  <c r="E34" i="5"/>
  <c r="E9" i="5"/>
  <c r="F34" i="5"/>
  <c r="F9" i="5"/>
  <c r="G42" i="5"/>
  <c r="H42" i="5" s="1"/>
  <c r="E7" i="5"/>
  <c r="E43" i="5"/>
  <c r="E56" i="5"/>
  <c r="F43" i="5"/>
  <c r="F15" i="5"/>
  <c r="G47" i="5"/>
  <c r="G24" i="5"/>
  <c r="G60" i="5"/>
  <c r="F60" i="5"/>
  <c r="H60" i="5" s="1"/>
  <c r="I30" i="5"/>
  <c r="I7" i="5"/>
  <c r="I35" i="5"/>
  <c r="I21" i="5"/>
  <c r="E3" i="5"/>
  <c r="I37" i="5"/>
  <c r="I50" i="5"/>
  <c r="F21" i="5"/>
  <c r="H21" i="5" s="1"/>
  <c r="G29" i="5"/>
  <c r="H29" i="5" s="1"/>
  <c r="G10" i="5"/>
  <c r="H10" i="5" s="1"/>
  <c r="E14" i="5"/>
  <c r="E45" i="5"/>
  <c r="F25" i="5"/>
  <c r="F57" i="5"/>
  <c r="G33" i="5"/>
  <c r="H33" i="5" s="1"/>
  <c r="G8" i="5"/>
  <c r="H8" i="5" s="1"/>
  <c r="E38" i="5"/>
  <c r="E24" i="5"/>
  <c r="F38" i="5"/>
  <c r="E10" i="5"/>
  <c r="G46" i="5"/>
  <c r="H46" i="5" s="1"/>
  <c r="G14" i="5"/>
  <c r="E47" i="5"/>
  <c r="E15" i="5"/>
  <c r="H15" i="5" s="1"/>
  <c r="F47" i="5"/>
  <c r="G19" i="5"/>
  <c r="H19" i="5" s="1"/>
  <c r="G51" i="5"/>
  <c r="H51" i="5" s="1"/>
  <c r="G28" i="5"/>
  <c r="G7" i="5"/>
  <c r="I22" i="5"/>
  <c r="I42" i="5"/>
  <c r="I19" i="5"/>
  <c r="I38" i="5"/>
  <c r="I33" i="5"/>
  <c r="I12" i="5"/>
  <c r="I49" i="5"/>
  <c r="I15" i="5"/>
  <c r="I57" i="5"/>
  <c r="I36" i="5"/>
  <c r="I25" i="5"/>
  <c r="I16" i="5"/>
  <c r="I39" i="5"/>
  <c r="G13" i="5"/>
  <c r="H13" i="5" s="1"/>
  <c r="E25" i="5"/>
  <c r="E57" i="5"/>
  <c r="F37" i="5"/>
  <c r="H37" i="5" s="1"/>
  <c r="E40" i="5"/>
  <c r="G45" i="5"/>
  <c r="H45" i="5" s="1"/>
  <c r="E18" i="5"/>
  <c r="E50" i="5"/>
  <c r="H50" i="5" s="1"/>
  <c r="F18" i="5"/>
  <c r="F50" i="5"/>
  <c r="G26" i="5"/>
  <c r="G58" i="5"/>
  <c r="E27" i="5"/>
  <c r="E59" i="5"/>
  <c r="F27" i="5"/>
  <c r="H27" i="5" s="1"/>
  <c r="F59" i="5"/>
  <c r="G31" i="5"/>
  <c r="G6" i="5"/>
  <c r="G40" i="5"/>
  <c r="I17" i="5"/>
  <c r="I59" i="5"/>
  <c r="F7" i="5"/>
  <c r="I55" i="5"/>
  <c r="I32" i="5"/>
  <c r="F28" i="5"/>
  <c r="H28" i="5" s="1"/>
  <c r="I48" i="5"/>
  <c r="I3" i="5"/>
  <c r="D14" i="2"/>
  <c r="D15" i="2" s="1"/>
  <c r="E14" i="2"/>
  <c r="H41" i="5"/>
  <c r="H9" i="5"/>
  <c r="B6" i="4"/>
  <c r="H5" i="5"/>
  <c r="H55" i="5"/>
  <c r="H11" i="5"/>
  <c r="E48" i="5"/>
  <c r="G52" i="5"/>
  <c r="E52" i="5"/>
  <c r="F52" i="5"/>
  <c r="I4" i="5"/>
  <c r="I52" i="5"/>
  <c r="F56" i="5"/>
  <c r="I27" i="5"/>
  <c r="H39" i="5" l="1"/>
  <c r="H40" i="5"/>
  <c r="H34" i="5"/>
  <c r="H20" i="5"/>
  <c r="H25" i="5"/>
  <c r="H35" i="5"/>
  <c r="H22" i="5"/>
  <c r="H14" i="5"/>
  <c r="H54" i="5"/>
  <c r="H26" i="5"/>
  <c r="H7" i="5"/>
  <c r="H17" i="5"/>
  <c r="H30" i="5"/>
  <c r="H57" i="5"/>
  <c r="H3" i="5"/>
  <c r="H6" i="5"/>
  <c r="H31" i="5"/>
  <c r="H18" i="5"/>
  <c r="H38" i="5"/>
  <c r="H43" i="5"/>
  <c r="H36" i="5"/>
  <c r="H59" i="5"/>
  <c r="H58" i="5"/>
  <c r="H48" i="5"/>
  <c r="H47" i="5"/>
  <c r="H4" i="5"/>
  <c r="H44" i="5"/>
  <c r="H56" i="5"/>
  <c r="H24" i="5"/>
  <c r="H52" i="5"/>
</calcChain>
</file>

<file path=xl/sharedStrings.xml><?xml version="1.0" encoding="utf-8"?>
<sst xmlns="http://schemas.openxmlformats.org/spreadsheetml/2006/main" count="129" uniqueCount="58">
  <si>
    <t>时间</t>
    <phoneticPr fontId="1" type="noConversion"/>
  </si>
  <si>
    <t>类型</t>
    <phoneticPr fontId="1" type="noConversion"/>
  </si>
  <si>
    <t>日期</t>
    <phoneticPr fontId="1" type="noConversion"/>
  </si>
  <si>
    <t>单打</t>
    <phoneticPr fontId="1" type="noConversion"/>
  </si>
  <si>
    <t>时间段</t>
    <phoneticPr fontId="1" type="noConversion"/>
  </si>
  <si>
    <t>持续时间</t>
    <phoneticPr fontId="1" type="noConversion"/>
  </si>
  <si>
    <t>练球</t>
    <phoneticPr fontId="1" type="noConversion"/>
  </si>
  <si>
    <t>双打</t>
    <phoneticPr fontId="1" type="noConversion"/>
  </si>
  <si>
    <t>周数</t>
    <phoneticPr fontId="1" type="noConversion"/>
  </si>
  <si>
    <t>金额</t>
    <phoneticPr fontId="1" type="noConversion"/>
  </si>
  <si>
    <t>说明</t>
    <phoneticPr fontId="1" type="noConversion"/>
  </si>
  <si>
    <t>型号</t>
    <phoneticPr fontId="1" type="noConversion"/>
  </si>
  <si>
    <t>球线</t>
    <phoneticPr fontId="1" type="noConversion"/>
  </si>
  <si>
    <t>BG80</t>
    <phoneticPr fontId="1" type="noConversion"/>
  </si>
  <si>
    <t>AB</t>
    <phoneticPr fontId="1" type="noConversion"/>
  </si>
  <si>
    <t>类别</t>
    <phoneticPr fontId="1" type="noConversion"/>
  </si>
  <si>
    <t>种类</t>
    <phoneticPr fontId="1" type="noConversion"/>
  </si>
  <si>
    <t>装备</t>
    <phoneticPr fontId="1" type="noConversion"/>
  </si>
  <si>
    <t>球拍</t>
    <phoneticPr fontId="1" type="noConversion"/>
  </si>
  <si>
    <t>服饰</t>
    <phoneticPr fontId="1" type="noConversion"/>
  </si>
  <si>
    <t>其余配件</t>
    <phoneticPr fontId="1" type="noConversion"/>
  </si>
  <si>
    <t>运动记录</t>
    <phoneticPr fontId="1" type="noConversion"/>
  </si>
  <si>
    <t>数量</t>
    <phoneticPr fontId="1" type="noConversion"/>
  </si>
  <si>
    <t>时间段统计</t>
    <phoneticPr fontId="1" type="noConversion"/>
  </si>
  <si>
    <t>早上</t>
    <phoneticPr fontId="1" type="noConversion"/>
  </si>
  <si>
    <t>中午</t>
    <phoneticPr fontId="1" type="noConversion"/>
  </si>
  <si>
    <t>下午</t>
    <phoneticPr fontId="1" type="noConversion"/>
  </si>
  <si>
    <t>晚上</t>
    <phoneticPr fontId="1" type="noConversion"/>
  </si>
  <si>
    <t>/</t>
    <phoneticPr fontId="1" type="noConversion"/>
  </si>
  <si>
    <t>合计</t>
    <phoneticPr fontId="1" type="noConversion"/>
  </si>
  <si>
    <t>备注</t>
    <phoneticPr fontId="1" type="noConversion"/>
  </si>
  <si>
    <t>90km 单线区断线</t>
    <phoneticPr fontId="1" type="noConversion"/>
  </si>
  <si>
    <t>VBS63</t>
    <phoneticPr fontId="1" type="noConversion"/>
  </si>
  <si>
    <t>双打</t>
  </si>
  <si>
    <t>6人双打，亚C</t>
  </si>
  <si>
    <t>开始日期：2025/12/1</t>
    <phoneticPr fontId="1" type="noConversion"/>
  </si>
  <si>
    <t>90KM</t>
    <phoneticPr fontId="1" type="noConversion"/>
  </si>
  <si>
    <t>ZSP</t>
    <phoneticPr fontId="1" type="noConversion"/>
  </si>
  <si>
    <t>黑金隼</t>
    <phoneticPr fontId="1" type="noConversion"/>
  </si>
  <si>
    <t>16人3场地</t>
  </si>
  <si>
    <t>4人混双</t>
  </si>
  <si>
    <t>单打</t>
  </si>
  <si>
    <t>3人轮单，亚C</t>
  </si>
  <si>
    <t>日期范围</t>
    <phoneticPr fontId="1" type="noConversion"/>
  </si>
  <si>
    <t>总时长</t>
    <phoneticPr fontId="1" type="noConversion"/>
  </si>
  <si>
    <t>年份</t>
    <phoneticPr fontId="1" type="noConversion"/>
  </si>
  <si>
    <t>黑金隼磨断线</t>
    <phoneticPr fontId="1" type="noConversion"/>
  </si>
  <si>
    <t>4人双打，zsp 单线区断线</t>
    <phoneticPr fontId="1" type="noConversion"/>
  </si>
  <si>
    <t>zsp 单线区断线</t>
    <phoneticPr fontId="1" type="noConversion"/>
  </si>
  <si>
    <t>丢失一桶球（10颗）155</t>
    <phoneticPr fontId="1" type="noConversion"/>
  </si>
  <si>
    <t>羽毛球</t>
    <phoneticPr fontId="1" type="noConversion"/>
  </si>
  <si>
    <t>咸鱼训练球</t>
    <phoneticPr fontId="1" type="noConversion"/>
  </si>
  <si>
    <t>100颗训练旧球</t>
    <phoneticPr fontId="1" type="noConversion"/>
  </si>
  <si>
    <t>3人轮单，翎美F2</t>
    <phoneticPr fontId="1" type="noConversion"/>
  </si>
  <si>
    <t>3人轮单，亚S亚2，zsp 单线区断线</t>
  </si>
  <si>
    <t>Exbolt68</t>
    <phoneticPr fontId="1" type="noConversion"/>
  </si>
  <si>
    <t>3人轮单，黑金隼 单线区断线</t>
    <phoneticPr fontId="1" type="noConversion"/>
  </si>
  <si>
    <t>6人轮双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</si>
</sst>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0_);[Red]\(0\)"/>
  </numFmts>
  <fonts count="10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0"/>
      <color theme="1"/>
      <name val="Arial Unicode MS"/>
      <family val="2"/>
      <charset val="134"/>
    </font>
    <font>
      <sz val="12"/>
      <color theme="1"/>
      <name val="微软雅黑"/>
      <family val="2"/>
      <charset val="134"/>
    </font>
    <font>
      <b/>
      <sz val="11"/>
      <color theme="4" tint="-0.249977111117893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4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运动数据统计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开销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运动数据合计!$A$3:$A$5</c:f>
              <c:strCache>
                <c:ptCount val="3"/>
                <c:pt idx="0">
                  <c:v>单打</c:v>
                </c:pt>
                <c:pt idx="1">
                  <c:v>双打</c:v>
                </c:pt>
                <c:pt idx="2">
                  <c:v>练球</c:v>
                </c:pt>
              </c:strCache>
            </c:strRef>
          </c:cat>
          <c:val>
            <c:numRef>
              <c:f>运动数据合计!$C$3:$C$5</c:f>
              <c:numCache>
                <c:formatCode>General</c:formatCode>
                <c:ptCount val="3"/>
                <c:pt idx="0">
                  <c:v>522.25</c:v>
                </c:pt>
                <c:pt idx="1">
                  <c:v>221.39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7-4952-A6CC-5A16B941E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6815104"/>
        <c:axId val="466815584"/>
      </c:barChart>
      <c:lineChart>
        <c:grouping val="stacked"/>
        <c:varyColors val="0"/>
        <c:ser>
          <c:idx val="0"/>
          <c:order val="0"/>
          <c:tx>
            <c:v>时间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运动数据合计!$A$3:$A$5</c:f>
              <c:strCache>
                <c:ptCount val="3"/>
                <c:pt idx="0">
                  <c:v>单打</c:v>
                </c:pt>
                <c:pt idx="1">
                  <c:v>双打</c:v>
                </c:pt>
                <c:pt idx="2">
                  <c:v>练球</c:v>
                </c:pt>
              </c:strCache>
            </c:strRef>
          </c:cat>
          <c:val>
            <c:numRef>
              <c:f>运动数据合计!$B$3:$B$5</c:f>
              <c:numCache>
                <c:formatCode>General</c:formatCode>
                <c:ptCount val="3"/>
                <c:pt idx="0">
                  <c:v>15.999999999999996</c:v>
                </c:pt>
                <c:pt idx="1">
                  <c:v>14.999999999999996</c:v>
                </c:pt>
                <c:pt idx="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7-4952-A6CC-5A16B941E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851391"/>
        <c:axId val="1369578447"/>
      </c:lineChart>
      <c:catAx>
        <c:axId val="466815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altLang="en-US"/>
                  <a:t>打球类别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66815584"/>
        <c:crosses val="autoZero"/>
        <c:auto val="1"/>
        <c:lblAlgn val="ctr"/>
        <c:lblOffset val="100"/>
        <c:noMultiLvlLbl val="0"/>
      </c:catAx>
      <c:valAx>
        <c:axId val="46681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altLang="en-US"/>
                  <a:t>开销金额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66815104"/>
        <c:crosses val="autoZero"/>
        <c:crossBetween val="between"/>
      </c:valAx>
      <c:valAx>
        <c:axId val="13695784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altLang="en-US"/>
                  <a:t>持续时间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995851391"/>
        <c:crosses val="max"/>
        <c:crossBetween val="between"/>
      </c:valAx>
      <c:catAx>
        <c:axId val="99585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95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r>
              <a:rPr lang="en-US" altLang="zh-CN" sz="1800" b="1" i="0" u="none" strike="noStrike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Weekly data statistics</a:t>
            </a:r>
            <a:endParaRPr lang="zh-CN" altLang="en-US" sz="18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微软雅黑" panose="020B0503020204020204" pitchFamily="34" charset="-122"/>
              <a:cs typeface="Arial" panose="020B0604020202020204" pitchFamily="34" charset="0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单打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周运动数据统计!$B$3:$B$60</c:f>
              <c:numCache>
                <c:formatCode>0_);[Red]\(0\)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周运动数据统计!$E$3:$E$60</c:f>
              <c:numCache>
                <c:formatCode>General</c:formatCode>
                <c:ptCount val="53"/>
                <c:pt idx="0">
                  <c:v>0</c:v>
                </c:pt>
                <c:pt idx="1">
                  <c:v>1.9999999999999982</c:v>
                </c:pt>
                <c:pt idx="2">
                  <c:v>2.0000000000000009</c:v>
                </c:pt>
                <c:pt idx="3">
                  <c:v>3.9999999999999964</c:v>
                </c:pt>
                <c:pt idx="4">
                  <c:v>2.0000000000000009</c:v>
                </c:pt>
                <c:pt idx="5">
                  <c:v>0.99999999999999911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B-4C5F-8EAF-E9F2F3488D6D}"/>
            </c:ext>
          </c:extLst>
        </c:ser>
        <c:ser>
          <c:idx val="1"/>
          <c:order val="1"/>
          <c:tx>
            <c:v>双打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周运动数据统计!$B$3:$B$60</c:f>
              <c:numCache>
                <c:formatCode>0_);[Red]\(0\)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周运动数据统计!$F$3:$F$60</c:f>
              <c:numCache>
                <c:formatCode>General</c:formatCode>
                <c:ptCount val="53"/>
                <c:pt idx="0">
                  <c:v>4.9999999999999982</c:v>
                </c:pt>
                <c:pt idx="1">
                  <c:v>0</c:v>
                </c:pt>
                <c:pt idx="2">
                  <c:v>1.9999999999999982</c:v>
                </c:pt>
                <c:pt idx="3">
                  <c:v>0</c:v>
                </c:pt>
                <c:pt idx="4">
                  <c:v>0</c:v>
                </c:pt>
                <c:pt idx="5">
                  <c:v>2.0000000000000009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B-4C5F-8EAF-E9F2F3488D6D}"/>
            </c:ext>
          </c:extLst>
        </c:ser>
        <c:ser>
          <c:idx val="2"/>
          <c:order val="2"/>
          <c:tx>
            <c:v>练球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周运动数据统计!$B$3:$B$60</c:f>
              <c:numCache>
                <c:formatCode>0_);[Red]\(0\)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周运动数据统计!$G$3:$G$60</c:f>
              <c:numCache>
                <c:formatCode>General</c:formatCode>
                <c:ptCount val="53"/>
                <c:pt idx="0">
                  <c:v>0</c:v>
                </c:pt>
                <c:pt idx="1">
                  <c:v>1.9999999999999996</c:v>
                </c:pt>
                <c:pt idx="2">
                  <c:v>3.9999999999999991</c:v>
                </c:pt>
                <c:pt idx="3">
                  <c:v>1.9999999999999996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B-4C5F-8EAF-E9F2F3488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1646144"/>
        <c:axId val="87164470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总时长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周运动数据统计!$B$3:$B$60</c15:sqref>
                        </c15:formulaRef>
                      </c:ext>
                    </c:extLst>
                    <c:numCache>
                      <c:formatCode>0_);[Red]\(0\)</c:formatCode>
                      <c:ptCount val="5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周运动数据统计!$H$3:$H$60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4.9999999999999982</c:v>
                      </c:pt>
                      <c:pt idx="1">
                        <c:v>3.9999999999999978</c:v>
                      </c:pt>
                      <c:pt idx="2">
                        <c:v>7.9999999999999982</c:v>
                      </c:pt>
                      <c:pt idx="3">
                        <c:v>5.9999999999999964</c:v>
                      </c:pt>
                      <c:pt idx="4">
                        <c:v>2.0000000000000009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00B-4C5F-8EAF-E9F2F3488D6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v>金额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周运动数据统计!$B$3:$B$60</c:f>
              <c:numCache>
                <c:formatCode>0_);[Red]\(0\)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周运动数据统计!$I$3:$I$60</c:f>
              <c:numCache>
                <c:formatCode>General</c:formatCode>
                <c:ptCount val="53"/>
                <c:pt idx="0">
                  <c:v>79.099999999999994</c:v>
                </c:pt>
                <c:pt idx="1">
                  <c:v>70.84</c:v>
                </c:pt>
                <c:pt idx="2">
                  <c:v>136.67000000000002</c:v>
                </c:pt>
                <c:pt idx="3">
                  <c:v>298.23</c:v>
                </c:pt>
                <c:pt idx="4">
                  <c:v>60.51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0B-4C5F-8EAF-E9F2F3488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624240"/>
        <c:axId val="897630960"/>
      </c:lineChart>
      <c:catAx>
        <c:axId val="87164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微软雅黑" panose="020B0503020204020204" pitchFamily="34" charset="-122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Week Number</a:t>
                </a:r>
                <a:endParaRPr lang="zh-CN" sz="1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0_)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BatangChe" panose="020B0503020000020004" pitchFamily="49" charset="-127"/>
                <a:cs typeface="Arial" panose="020B0604020202020204" pitchFamily="34" charset="0"/>
              </a:defRPr>
            </a:pPr>
            <a:endParaRPr lang="zh-CN"/>
          </a:p>
        </c:txPr>
        <c:crossAx val="871644704"/>
        <c:crosses val="autoZero"/>
        <c:auto val="1"/>
        <c:lblAlgn val="ctr"/>
        <c:lblOffset val="100"/>
        <c:noMultiLvlLbl val="0"/>
      </c:catAx>
      <c:valAx>
        <c:axId val="8716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微软雅黑" panose="020B0503020204020204" pitchFamily="34" charset="-122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871646144"/>
        <c:crosses val="autoZero"/>
        <c:crossBetween val="between"/>
      </c:valAx>
      <c:valAx>
        <c:axId val="8976309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微软雅黑" panose="020B0503020204020204" pitchFamily="34" charset="-122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微软雅黑" panose="020B0503020204020204" pitchFamily="34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897624240"/>
        <c:crosses val="max"/>
        <c:crossBetween val="between"/>
      </c:valAx>
      <c:catAx>
        <c:axId val="897624240"/>
        <c:scaling>
          <c:orientation val="minMax"/>
        </c:scaling>
        <c:delete val="1"/>
        <c:axPos val="b"/>
        <c:numFmt formatCode="0_);[Red]\(0\)" sourceLinked="1"/>
        <c:majorTickMark val="out"/>
        <c:minorTickMark val="none"/>
        <c:tickLblPos val="nextTo"/>
        <c:crossAx val="897630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472661</xdr:colOff>
      <xdr:row>4</xdr:row>
      <xdr:rowOff>48454</xdr:rowOff>
    </xdr:from>
    <xdr:to>
      <xdr:col>16</xdr:col>
      <xdr:colOff>266700</xdr:colOff>
      <xdr:row>17</xdr:row>
      <xdr:rowOff>170139</xdr:rowOff>
    </xdr:to>
    <xdr:graphicFrame macro="">
      <xdr:nvGraphicFramePr>
        <xdr:cNvPr id="14" name="图表 3">
          <a:extLst>
            <a:ext uri="{FF2B5EF4-FFF2-40B4-BE49-F238E27FC236}">
              <a16:creationId xmlns:a16="http://schemas.microsoft.com/office/drawing/2014/main" id="{735E1694-B4F6-347D-7E3F-8B2AA3CDC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453335</xdr:colOff>
      <xdr:row>4</xdr:row>
      <xdr:rowOff>26228</xdr:rowOff>
    </xdr:from>
    <xdr:to>
      <xdr:col>19</xdr:col>
      <xdr:colOff>247650</xdr:colOff>
      <xdr:row>23</xdr:row>
      <xdr:rowOff>152400</xdr:rowOff>
    </xdr:to>
    <xdr:graphicFrame macro="">
      <xdr:nvGraphicFramePr>
        <xdr:cNvPr id="44" name="图表 2">
          <a:extLst>
            <a:ext uri="{FF2B5EF4-FFF2-40B4-BE49-F238E27FC236}">
              <a16:creationId xmlns:a16="http://schemas.microsoft.com/office/drawing/2014/main" id="{319C0B0B-9A82-8B5D-1FAA-2E79EDC78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1D27-D484-4DB3-9468-EBF1E7EE1A2E}">
  <sheetPr>
    <tabColor rgb="FFC00000"/>
  </sheetPr>
  <dimension ref="A1:E16"/>
  <sheetViews>
    <sheetView tabSelected="1" zoomScale="120" zoomScaleNormal="120" workbookViewId="0">
      <selection activeCell="B9" sqref="B9"/>
    </sheetView>
  </sheetViews>
  <sheetFormatPr defaultRowHeight="16.5"/>
  <cols>
    <col min="1" max="1" width="13.77734375" customWidth="1"/>
    <col min="2" max="2" width="14.21875" customWidth="1"/>
  </cols>
  <sheetData>
    <row r="1" spans="1:5">
      <c r="A1" s="7" t="s">
        <v>35</v>
      </c>
      <c r="B1" s="8"/>
    </row>
    <row r="2" spans="1:5">
      <c r="A2" s="7"/>
    </row>
    <row r="3" spans="1:5" ht="17.25" thickBot="1"/>
    <row r="4" spans="1:5" ht="20.100000000000001" customHeight="1" thickTop="1" thickBot="1">
      <c r="A4" s="14" t="s">
        <v>15</v>
      </c>
      <c r="B4" s="14" t="s">
        <v>16</v>
      </c>
      <c r="C4" s="14" t="s">
        <v>22</v>
      </c>
      <c r="D4" s="14" t="s">
        <v>9</v>
      </c>
      <c r="E4" s="14" t="s">
        <v>5</v>
      </c>
    </row>
    <row r="5" spans="1:5" ht="20.100000000000001" customHeight="1" thickTop="1" thickBot="1">
      <c r="A5" s="29" t="s">
        <v>17</v>
      </c>
      <c r="B5" s="16" t="s">
        <v>12</v>
      </c>
      <c r="C5" s="16">
        <f>COUNTIF(装备明细!$B$2:$B$100,B5)</f>
        <v>7</v>
      </c>
      <c r="D5" s="16">
        <f>SUMIFS(装备明细!$D$2:$D$100,装备明细!$B$2:$B$100,B5)</f>
        <v>425</v>
      </c>
      <c r="E5" s="16" t="s">
        <v>28</v>
      </c>
    </row>
    <row r="6" spans="1:5" ht="20.100000000000001" customHeight="1" thickTop="1" thickBot="1">
      <c r="A6" s="29"/>
      <c r="B6" s="16" t="s">
        <v>18</v>
      </c>
      <c r="C6" s="16">
        <f>COUNTIF(装备明细!$B$2:$B$100,B6)</f>
        <v>0</v>
      </c>
      <c r="D6" s="16">
        <f>SUMIFS(装备明细!$D$2:$D$100,装备明细!$B$2:$B$100,B6)</f>
        <v>0</v>
      </c>
      <c r="E6" s="16" t="s">
        <v>28</v>
      </c>
    </row>
    <row r="7" spans="1:5" ht="20.100000000000001" customHeight="1" thickTop="1" thickBot="1">
      <c r="A7" s="29"/>
      <c r="B7" s="16" t="s">
        <v>19</v>
      </c>
      <c r="C7" s="16">
        <f>COUNTIF(装备明细!$B$2:$B$100,B7)</f>
        <v>0</v>
      </c>
      <c r="D7" s="16">
        <f>SUMIFS(装备明细!$D$2:$D$100,装备明细!$B$2:$B$100,B7)</f>
        <v>0</v>
      </c>
      <c r="E7" s="16" t="s">
        <v>28</v>
      </c>
    </row>
    <row r="8" spans="1:5" ht="20.100000000000001" customHeight="1" thickTop="1" thickBot="1">
      <c r="A8" s="29"/>
      <c r="B8" s="16" t="s">
        <v>50</v>
      </c>
      <c r="C8" s="16">
        <f>COUNTIF(装备明细!$B$2:$B$100,B8)</f>
        <v>1</v>
      </c>
      <c r="D8" s="16">
        <f>SUMIFS(装备明细!$D$2:$D$100,装备明细!$B$2:$B$100,B8)</f>
        <v>100</v>
      </c>
      <c r="E8" s="16" t="s">
        <v>28</v>
      </c>
    </row>
    <row r="9" spans="1:5" ht="20.100000000000001" customHeight="1" thickTop="1" thickBot="1">
      <c r="A9" s="29"/>
      <c r="B9" s="16" t="s">
        <v>20</v>
      </c>
      <c r="C9" s="16">
        <f>COUNTIF(装备明细!$B$2:$B$100,B9)</f>
        <v>0</v>
      </c>
      <c r="D9" s="16">
        <f>SUMIFS(装备明细!$D$2:$D$100,装备明细!$B$2:$B$100,B9)</f>
        <v>0</v>
      </c>
      <c r="E9" s="16" t="s">
        <v>28</v>
      </c>
    </row>
    <row r="10" spans="1:5" ht="20.100000000000001" customHeight="1" thickTop="1" thickBot="1">
      <c r="A10" s="29"/>
      <c r="B10" s="15" t="s">
        <v>29</v>
      </c>
      <c r="C10" s="15">
        <f>SUM(C5:C9)</f>
        <v>8</v>
      </c>
      <c r="D10" s="15">
        <f>SUM(D5:D9)</f>
        <v>525</v>
      </c>
      <c r="E10" s="16" t="s">
        <v>28</v>
      </c>
    </row>
    <row r="11" spans="1:5" ht="20.100000000000001" customHeight="1" thickTop="1" thickBot="1">
      <c r="A11" s="29" t="s">
        <v>21</v>
      </c>
      <c r="B11" s="16" t="s">
        <v>3</v>
      </c>
      <c r="C11" s="16" t="s">
        <v>28</v>
      </c>
      <c r="D11" s="16">
        <f>运动数据合计!C3</f>
        <v>522.25</v>
      </c>
      <c r="E11" s="16">
        <f>运动数据合计!B3</f>
        <v>15.999999999999996</v>
      </c>
    </row>
    <row r="12" spans="1:5" ht="20.100000000000001" customHeight="1" thickTop="1" thickBot="1">
      <c r="A12" s="29"/>
      <c r="B12" s="16" t="s">
        <v>7</v>
      </c>
      <c r="C12" s="16" t="s">
        <v>28</v>
      </c>
      <c r="D12" s="16">
        <f>运动数据合计!C4</f>
        <v>221.39</v>
      </c>
      <c r="E12" s="16">
        <f>运动数据合计!B4</f>
        <v>14.999999999999996</v>
      </c>
    </row>
    <row r="13" spans="1:5" ht="20.100000000000001" customHeight="1" thickTop="1" thickBot="1">
      <c r="A13" s="29"/>
      <c r="B13" s="16" t="s">
        <v>6</v>
      </c>
      <c r="C13" s="16" t="s">
        <v>28</v>
      </c>
      <c r="D13" s="16">
        <f>运动数据合计!C5</f>
        <v>327</v>
      </c>
      <c r="E13" s="16">
        <f>运动数据合计!B5</f>
        <v>16</v>
      </c>
    </row>
    <row r="14" spans="1:5" ht="20.100000000000001" customHeight="1" thickTop="1" thickBot="1">
      <c r="A14" s="29"/>
      <c r="B14" s="15" t="s">
        <v>29</v>
      </c>
      <c r="C14" s="16" t="s">
        <v>28</v>
      </c>
      <c r="D14" s="15">
        <f>SUM(D11:D13)</f>
        <v>1070.6399999999999</v>
      </c>
      <c r="E14" s="15">
        <f>SUM(E11:E13)</f>
        <v>46.999999999999993</v>
      </c>
    </row>
    <row r="15" spans="1:5" ht="18" thickTop="1" thickBot="1">
      <c r="A15" s="30" t="s">
        <v>29</v>
      </c>
      <c r="B15" s="30"/>
      <c r="C15" s="30"/>
      <c r="D15" s="17">
        <f>D10+D14</f>
        <v>1595.6399999999999</v>
      </c>
      <c r="E15" s="16"/>
    </row>
    <row r="16" spans="1:5" ht="17.25" thickTop="1"/>
  </sheetData>
  <mergeCells count="3">
    <mergeCell ref="A5:A10"/>
    <mergeCell ref="A11:A14"/>
    <mergeCell ref="A15:C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530A-E5F2-486B-AE7A-2444F9FD9750}">
  <sheetPr>
    <tabColor theme="3" tint="0.249977111117893"/>
  </sheetPr>
  <dimension ref="A1:G7"/>
  <sheetViews>
    <sheetView zoomScale="120" zoomScaleNormal="120" workbookViewId="0">
      <selection activeCell="C5" sqref="C5"/>
    </sheetView>
  </sheetViews>
  <sheetFormatPr defaultRowHeight="16.5"/>
  <cols>
    <col min="1" max="7" width="10.88671875" customWidth="1"/>
  </cols>
  <sheetData>
    <row r="1" spans="1:7" ht="19.5" thickTop="1" thickBot="1">
      <c r="A1" s="31" t="s">
        <v>1</v>
      </c>
      <c r="B1" s="31" t="s">
        <v>5</v>
      </c>
      <c r="C1" s="31" t="s">
        <v>9</v>
      </c>
      <c r="D1" s="31" t="s">
        <v>23</v>
      </c>
      <c r="E1" s="31"/>
      <c r="F1" s="31"/>
      <c r="G1" s="31"/>
    </row>
    <row r="2" spans="1:7" ht="19.5" thickTop="1" thickBot="1">
      <c r="A2" s="31"/>
      <c r="B2" s="31"/>
      <c r="C2" s="31"/>
      <c r="D2" s="14" t="s">
        <v>24</v>
      </c>
      <c r="E2" s="14" t="s">
        <v>25</v>
      </c>
      <c r="F2" s="14" t="s">
        <v>26</v>
      </c>
      <c r="G2" s="14" t="s">
        <v>27</v>
      </c>
    </row>
    <row r="3" spans="1:7" ht="18" thickTop="1" thickBot="1">
      <c r="A3" s="15" t="s">
        <v>3</v>
      </c>
      <c r="B3" s="16">
        <f>SUMIFS(运动日明细!$H$2:$H$104,运动日明细!$F$2:$F$104,A3)</f>
        <v>15.999999999999996</v>
      </c>
      <c r="C3" s="16">
        <f>SUMIFS(运动日明细!$G$2:$G$104,运动日明细!$F$2:$F$104,A3)</f>
        <v>522.25</v>
      </c>
      <c r="D3" s="16">
        <f>SUMIFS(运动日明细!$H$2:$H$104, 运动日明细!$F$2:$F$104, $A3, 运动日明细!$I$2:$I$104, $D$2)</f>
        <v>0</v>
      </c>
      <c r="E3" s="16">
        <f>SUMIFS(运动日明细!$H$2:$H$104, 运动日明细!$F$2:$F$104, $A3, 运动日明细!$I$2:$I$104, $E$2)</f>
        <v>1.0000000000000018</v>
      </c>
      <c r="F3" s="16">
        <f>SUMIFS(运动日明细!$H$2:$H$104, 运动日明细!$F$2:$F$104, $A3, 运动日明细!$I$2:$I$104, $F$2)</f>
        <v>0</v>
      </c>
      <c r="G3" s="16">
        <f>SUMIFS(运动日明细!$H$2:$H$104, 运动日明细!$F$2:$F$104, $A3, 运动日明细!$I$2:$I$104, $G$2)</f>
        <v>14.999999999999993</v>
      </c>
    </row>
    <row r="4" spans="1:7" ht="18" thickTop="1" thickBot="1">
      <c r="A4" s="15" t="s">
        <v>7</v>
      </c>
      <c r="B4" s="16">
        <f>SUMIFS(运动日明细!$H$2:$H$104,运动日明细!$F$2:$F$104,A4)</f>
        <v>14.999999999999996</v>
      </c>
      <c r="C4" s="16">
        <f>SUMIFS(运动日明细!$G$2:$G$104,运动日明细!$F$2:$F$104,A4)</f>
        <v>221.39</v>
      </c>
      <c r="D4" s="16">
        <f>SUMIFS(运动日明细!$H$2:$H$104, 运动日明细!$F$2:$F$104, $A4, 运动日明细!$I$2:$I$104, $D$2)</f>
        <v>0</v>
      </c>
      <c r="E4" s="16">
        <f>SUMIFS(运动日明细!$H$2:$H$104, 运动日明细!$F$2:$F$104, $A4, 运动日明细!$I$2:$I$104, $E$2)</f>
        <v>4.0000000000000018</v>
      </c>
      <c r="F4" s="16">
        <f>SUMIFS(运动日明细!$H$2:$H$104, 运动日明细!$F$2:$F$104, $A4, 运动日明细!$I$2:$I$104, $F$2)</f>
        <v>5.0000000000000009</v>
      </c>
      <c r="G4" s="16">
        <f>SUMIFS(运动日明细!$H$2:$H$104, 运动日明细!$F$2:$F$104, $A4, 运动日明细!$I$2:$I$104, $G$2)</f>
        <v>5.9999999999999947</v>
      </c>
    </row>
    <row r="5" spans="1:7" ht="18" thickTop="1" thickBot="1">
      <c r="A5" s="15" t="s">
        <v>6</v>
      </c>
      <c r="B5" s="16">
        <f>SUMIFS(运动日明细!$H$2:$H$104,运动日明细!$F$2:$F$104,A5)</f>
        <v>16</v>
      </c>
      <c r="C5" s="16">
        <f>SUMIFS(运动日明细!$G$2:$G$104,运动日明细!$F$2:$F$104,A5)</f>
        <v>327</v>
      </c>
      <c r="D5" s="16">
        <f>SUMIFS(运动日明细!$H$2:$H$104, 运动日明细!$F$2:$F$104, $A5, 运动日明细!$I$2:$I$104, $D$2)</f>
        <v>13.999999999999998</v>
      </c>
      <c r="E5" s="16">
        <f>SUMIFS(运动日明细!$H$2:$H$104, 运动日明细!$F$2:$F$104, $A5, 运动日明细!$I$2:$I$104, $E$2)</f>
        <v>2.0000000000000009</v>
      </c>
      <c r="F5" s="16">
        <f>SUMIFS(运动日明细!$H$2:$H$104, 运动日明细!$F$2:$F$104, $A5, 运动日明细!$I$2:$I$104, $F$2)</f>
        <v>0</v>
      </c>
      <c r="G5" s="16">
        <f>SUMIFS(运动日明细!$H$2:$H$104, 运动日明细!$F$2:$F$104, $A5, 运动日明细!$I$2:$I$104, $G$2)</f>
        <v>0</v>
      </c>
    </row>
    <row r="6" spans="1:7" ht="18" thickTop="1" thickBot="1">
      <c r="A6" s="18" t="s">
        <v>29</v>
      </c>
      <c r="B6" s="18">
        <f>SUM(B3:B5)</f>
        <v>46.999999999999993</v>
      </c>
      <c r="C6" s="18">
        <f>SUM(C3:C5)</f>
        <v>1070.6399999999999</v>
      </c>
      <c r="D6" s="32" t="s">
        <v>28</v>
      </c>
      <c r="E6" s="32"/>
      <c r="F6" s="32"/>
      <c r="G6" s="32"/>
    </row>
    <row r="7" spans="1:7" ht="17.25" thickTop="1"/>
  </sheetData>
  <mergeCells count="5">
    <mergeCell ref="A1:A2"/>
    <mergeCell ref="B1:B2"/>
    <mergeCell ref="C1:C2"/>
    <mergeCell ref="D1:G1"/>
    <mergeCell ref="D6:G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D150-6535-4683-B0C6-5B8CEB14050C}">
  <sheetPr filterMode="1">
    <tabColor theme="3" tint="0.249977111117893"/>
  </sheetPr>
  <dimension ref="A1:I60"/>
  <sheetViews>
    <sheetView zoomScale="115" zoomScaleNormal="115" workbookViewId="0">
      <selection activeCell="B8" sqref="B8"/>
    </sheetView>
  </sheetViews>
  <sheetFormatPr defaultRowHeight="16.5"/>
  <cols>
    <col min="1" max="2" width="10.77734375" style="6" customWidth="1"/>
    <col min="3" max="4" width="15.77734375" style="2" customWidth="1"/>
    <col min="5" max="9" width="8.21875" customWidth="1"/>
  </cols>
  <sheetData>
    <row r="1" spans="1:9" ht="19.899999999999999" customHeight="1" thickBot="1">
      <c r="A1" s="33" t="s">
        <v>2</v>
      </c>
      <c r="B1" s="33" t="s">
        <v>8</v>
      </c>
      <c r="C1" s="35" t="s">
        <v>43</v>
      </c>
      <c r="D1" s="35"/>
      <c r="E1" s="37" t="s">
        <v>5</v>
      </c>
      <c r="F1" s="37"/>
      <c r="G1" s="37"/>
      <c r="H1" s="37"/>
      <c r="I1" s="38" t="s">
        <v>9</v>
      </c>
    </row>
    <row r="2" spans="1:9" ht="19.899999999999999" customHeight="1" thickTop="1" thickBot="1">
      <c r="A2" s="34"/>
      <c r="B2" s="34"/>
      <c r="C2" s="36"/>
      <c r="D2" s="36"/>
      <c r="E2" s="19" t="s">
        <v>3</v>
      </c>
      <c r="F2" s="19" t="s">
        <v>7</v>
      </c>
      <c r="G2" s="19" t="s">
        <v>6</v>
      </c>
      <c r="H2" s="19" t="s">
        <v>44</v>
      </c>
      <c r="I2" s="39"/>
    </row>
    <row r="3" spans="1:9" ht="18" hidden="1" thickTop="1">
      <c r="A3" s="11">
        <v>2025</v>
      </c>
      <c r="B3" s="11">
        <v>49</v>
      </c>
      <c r="C3" s="10">
        <f t="shared" ref="C3:C34" si="0">DATE(A3,1,1) - WEEKDAY(DATE(A3,1,1),2) + (B3-1)*7 + 1</f>
        <v>45992</v>
      </c>
      <c r="D3" s="10">
        <f t="shared" ref="D3:D34" si="1">DATE(A3,1,1) - WEEKDAY(DATE(A3,1,1),2) + (B3-1)*7 + 7</f>
        <v>45998</v>
      </c>
      <c r="E3">
        <f>SUMIFS(
    运动日明细!$H:$H,
    运动日明细!$C:$C, $B3,
    运动日明细!$F:$F, E$2,
    运动日明细!$A:$A, $A3
)</f>
        <v>3</v>
      </c>
      <c r="F3">
        <f>SUMIFS(
    运动日明细!$H:$H,
    运动日明细!$C:$C, $B3,
    运动日明细!$F:$F, F$2,
    运动日明细!$A:$A, $A3
)</f>
        <v>0</v>
      </c>
      <c r="G3">
        <f>SUMIFS(
    运动日明细!$H:$H,
    运动日明细!$C:$C, $B3,
    运动日明细!$F:$F, G$2,
    运动日明细!$A:$A, $A3
)</f>
        <v>1.9999999999999996</v>
      </c>
      <c r="H3" s="7">
        <f t="shared" ref="H3:H34" si="2">SUM(E3:G3)</f>
        <v>5</v>
      </c>
      <c r="I3" s="7">
        <f>SUMIFS(
    运动日明细!$G:$G,
    运动日明细!$C:$C, $B3,
    运动日明细!$A:$A, $A3
)</f>
        <v>144.25</v>
      </c>
    </row>
    <row r="4" spans="1:9" ht="18" hidden="1" thickTop="1">
      <c r="A4" s="11">
        <v>2025</v>
      </c>
      <c r="B4" s="11">
        <v>50</v>
      </c>
      <c r="C4" s="10">
        <f t="shared" si="0"/>
        <v>45999</v>
      </c>
      <c r="D4" s="10">
        <f t="shared" si="1"/>
        <v>46005</v>
      </c>
      <c r="E4">
        <f>SUMIFS(
    运动日明细!$H:$H,
    运动日明细!$C:$C, $B4,
    运动日明细!$F:$F, E$2,
    运动日明细!$A:$A, $A4
)</f>
        <v>0.99999999999999911</v>
      </c>
      <c r="F4">
        <f>SUMIFS(
    运动日明细!$H:$H,
    运动日明细!$C:$C, $B4,
    运动日明细!$F:$F, F$2,
    运动日明细!$A:$A, $A4
)</f>
        <v>2.0000000000000009</v>
      </c>
      <c r="G4">
        <f>SUMIFS(
    运动日明细!$H:$H,
    运动日明细!$C:$C, $B4,
    运动日明细!$F:$F, G$2,
    运动日明细!$A:$A, $A4
)</f>
        <v>1.9999999999999996</v>
      </c>
      <c r="H4" s="7">
        <f t="shared" si="2"/>
        <v>5</v>
      </c>
      <c r="I4" s="7">
        <f>SUMIFS(
    运动日明细!$G:$G,
    运动日明细!$C:$C, $B4,
    运动日明细!$A:$A, $A4
)</f>
        <v>102.5</v>
      </c>
    </row>
    <row r="5" spans="1:9" ht="18" hidden="1" thickTop="1">
      <c r="A5" s="11">
        <v>2025</v>
      </c>
      <c r="B5" s="11">
        <v>51</v>
      </c>
      <c r="C5" s="10">
        <f t="shared" si="0"/>
        <v>46006</v>
      </c>
      <c r="D5" s="10">
        <f t="shared" si="1"/>
        <v>46012</v>
      </c>
      <c r="E5">
        <f>SUMIFS(
    运动日明细!$H:$H,
    运动日明细!$C:$C, $B5,
    运动日明细!$F:$F, E$2,
    运动日明细!$A:$A, $A5
)</f>
        <v>0.99999999999999911</v>
      </c>
      <c r="F5">
        <f>SUMIFS(
    运动日明细!$H:$H,
    运动日明细!$C:$C, $B5,
    运动日明细!$F:$F, F$2,
    运动日明细!$A:$A, $A5
)</f>
        <v>2.0000000000000009</v>
      </c>
      <c r="G5">
        <f>SUMIFS(
    运动日明细!$H:$H,
    运动日明细!$C:$C, $B5,
    运动日明细!$F:$F, G$2,
    运动日明细!$A:$A, $A5
)</f>
        <v>2.0000000000000009</v>
      </c>
      <c r="H5" s="7">
        <f t="shared" si="2"/>
        <v>5.0000000000000009</v>
      </c>
      <c r="I5" s="7">
        <f>SUMIFS(
    运动日明细!$G:$G,
    运动日明细!$C:$C, $B5,
    运动日明细!$A:$A, $A5
)</f>
        <v>88.92</v>
      </c>
    </row>
    <row r="6" spans="1:9" ht="18" hidden="1" thickTop="1">
      <c r="A6" s="11">
        <v>2025</v>
      </c>
      <c r="B6" s="11">
        <v>52</v>
      </c>
      <c r="C6" s="10">
        <f t="shared" si="0"/>
        <v>46013</v>
      </c>
      <c r="D6" s="10">
        <f t="shared" si="1"/>
        <v>46019</v>
      </c>
      <c r="E6">
        <f>SUMIFS(
    运动日明细!$H:$H,
    运动日明细!$C:$C, $B6,
    运动日明细!$F:$F, E$2,
    运动日明细!$A:$A, $A6
)</f>
        <v>0</v>
      </c>
      <c r="F6">
        <f>SUMIFS(
    运动日明细!$H:$H,
    运动日明细!$C:$C, $B6,
    运动日明细!$F:$F, F$2,
    运动日明细!$A:$A, $A6
)</f>
        <v>0</v>
      </c>
      <c r="G6">
        <f>SUMIFS(
    运动日明细!$H:$H,
    运动日明细!$C:$C, $B6,
    运动日明细!$F:$F, G$2,
    运动日明细!$A:$A, $A6
)</f>
        <v>1.9999999999999996</v>
      </c>
      <c r="H6" s="7">
        <f t="shared" si="2"/>
        <v>1.9999999999999996</v>
      </c>
      <c r="I6" s="7">
        <f>SUMIFS(
    运动日明细!$G:$G,
    运动日明细!$C:$C, $B6,
    运动日明细!$A:$A, $A6
)</f>
        <v>22.75</v>
      </c>
    </row>
    <row r="7" spans="1:9" ht="18" hidden="1" thickTop="1">
      <c r="A7" s="11">
        <v>2025</v>
      </c>
      <c r="B7" s="6">
        <v>53</v>
      </c>
      <c r="C7" s="10">
        <f t="shared" si="0"/>
        <v>46020</v>
      </c>
      <c r="D7" s="10">
        <f t="shared" si="1"/>
        <v>46026</v>
      </c>
      <c r="E7">
        <f>SUMIFS(
    运动日明细!$H:$H,
    运动日明细!$C:$C, $B7,
    运动日明细!$F:$F, E$2,
    运动日明细!$A:$A, $A7
)</f>
        <v>0</v>
      </c>
      <c r="F7">
        <f>SUMIFS(
    运动日明细!$H:$H,
    运动日明细!$C:$C, $B7,
    运动日明细!$F:$F, F$2,
    运动日明细!$A:$A, $A7
)</f>
        <v>1.9999999999999982</v>
      </c>
      <c r="G7">
        <f>SUMIFS(
    运动日明细!$H:$H,
    运动日明细!$C:$C, $B7,
    运动日明细!$F:$F, G$2,
    运动日明细!$A:$A, $A7
)</f>
        <v>0</v>
      </c>
      <c r="H7" s="7">
        <f t="shared" si="2"/>
        <v>1.9999999999999982</v>
      </c>
      <c r="I7" s="7">
        <f>SUMIFS(
    运动日明细!$G:$G,
    运动日明细!$C:$C, $B7,
    运动日明细!$A:$A, $A7
)</f>
        <v>28.87</v>
      </c>
    </row>
    <row r="8" spans="1:9" ht="18" thickTop="1">
      <c r="A8" s="6">
        <v>2026</v>
      </c>
      <c r="B8" s="6">
        <v>1</v>
      </c>
      <c r="C8" s="10">
        <f t="shared" si="0"/>
        <v>46020</v>
      </c>
      <c r="D8" s="10">
        <f t="shared" si="1"/>
        <v>46026</v>
      </c>
      <c r="E8">
        <f>SUMIFS(
    运动日明细!$H:$H,
    运动日明细!$C:$C, $B8,
    运动日明细!$F:$F, E$2,
    运动日明细!$A:$A, $A8
)</f>
        <v>0</v>
      </c>
      <c r="F8">
        <f>SUMIFS(
    运动日明细!$H:$H,
    运动日明细!$C:$C, $B8,
    运动日明细!$F:$F, F$2,
    运动日明细!$A:$A, $A8
)</f>
        <v>4.9999999999999982</v>
      </c>
      <c r="G8">
        <f>SUMIFS(
    运动日明细!$H:$H,
    运动日明细!$C:$C, $B8,
    运动日明细!$F:$F, G$2,
    运动日明细!$A:$A, $A8
)</f>
        <v>0</v>
      </c>
      <c r="H8" s="7">
        <f t="shared" si="2"/>
        <v>4.9999999999999982</v>
      </c>
      <c r="I8" s="7">
        <f>SUMIFS(
    运动日明细!$G:$G,
    运动日明细!$C:$C, $B8,
    运动日明细!$A:$A, $A8
)</f>
        <v>79.099999999999994</v>
      </c>
    </row>
    <row r="9" spans="1:9" ht="17.25">
      <c r="A9" s="6">
        <v>2026</v>
      </c>
      <c r="B9" s="6">
        <v>2</v>
      </c>
      <c r="C9" s="10">
        <f t="shared" si="0"/>
        <v>46027</v>
      </c>
      <c r="D9" s="10">
        <f t="shared" si="1"/>
        <v>46033</v>
      </c>
      <c r="E9">
        <f>SUMIFS(
    运动日明细!$H:$H,
    运动日明细!$C:$C, $B9,
    运动日明细!$F:$F, E$2,
    运动日明细!$A:$A, $A9
)</f>
        <v>1.9999999999999982</v>
      </c>
      <c r="F9">
        <f>SUMIFS(
    运动日明细!$H:$H,
    运动日明细!$C:$C, $B9,
    运动日明细!$F:$F, F$2,
    运动日明细!$A:$A, $A9
)</f>
        <v>0</v>
      </c>
      <c r="G9">
        <f>SUMIFS(
    运动日明细!$H:$H,
    运动日明细!$C:$C, $B9,
    运动日明细!$F:$F, G$2,
    运动日明细!$A:$A, $A9
)</f>
        <v>1.9999999999999996</v>
      </c>
      <c r="H9" s="7">
        <f t="shared" si="2"/>
        <v>3.9999999999999978</v>
      </c>
      <c r="I9" s="7">
        <f>SUMIFS(
    运动日明细!$G:$G,
    运动日明细!$C:$C, $B9,
    运动日明细!$A:$A, $A9
)</f>
        <v>70.84</v>
      </c>
    </row>
    <row r="10" spans="1:9" ht="17.25">
      <c r="A10" s="6">
        <v>2026</v>
      </c>
      <c r="B10" s="6">
        <v>3</v>
      </c>
      <c r="C10" s="10">
        <f t="shared" si="0"/>
        <v>46034</v>
      </c>
      <c r="D10" s="10">
        <f t="shared" si="1"/>
        <v>46040</v>
      </c>
      <c r="E10">
        <f>SUMIFS(
    运动日明细!$H:$H,
    运动日明细!$C:$C, $B10,
    运动日明细!$F:$F, E$2,
    运动日明细!$A:$A, $A10
)</f>
        <v>2.0000000000000009</v>
      </c>
      <c r="F10">
        <f>SUMIFS(
    运动日明细!$H:$H,
    运动日明细!$C:$C, $B10,
    运动日明细!$F:$F, F$2,
    运动日明细!$A:$A, $A10
)</f>
        <v>1.9999999999999982</v>
      </c>
      <c r="G10">
        <f>SUMIFS(
    运动日明细!$H:$H,
    运动日明细!$C:$C, $B10,
    运动日明细!$F:$F, G$2,
    运动日明细!$A:$A, $A10
)</f>
        <v>3.9999999999999991</v>
      </c>
      <c r="H10" s="7">
        <f t="shared" si="2"/>
        <v>7.9999999999999982</v>
      </c>
      <c r="I10" s="7">
        <f>SUMIFS(
    运动日明细!$G:$G,
    运动日明细!$C:$C, $B10,
    运动日明细!$A:$A, $A10
)</f>
        <v>136.67000000000002</v>
      </c>
    </row>
    <row r="11" spans="1:9" ht="17.25">
      <c r="A11" s="6">
        <v>2026</v>
      </c>
      <c r="B11" s="6">
        <v>4</v>
      </c>
      <c r="C11" s="10">
        <f t="shared" si="0"/>
        <v>46041</v>
      </c>
      <c r="D11" s="10">
        <f t="shared" si="1"/>
        <v>46047</v>
      </c>
      <c r="E11">
        <f>SUMIFS(
    运动日明细!$H:$H,
    运动日明细!$C:$C, $B11,
    运动日明细!$F:$F, E$2,
    运动日明细!$A:$A, $A11
)</f>
        <v>3.9999999999999964</v>
      </c>
      <c r="F11">
        <f>SUMIFS(
    运动日明细!$H:$H,
    运动日明细!$C:$C, $B11,
    运动日明细!$F:$F, F$2,
    运动日明细!$A:$A, $A11
)</f>
        <v>0</v>
      </c>
      <c r="G11">
        <f>SUMIFS(
    运动日明细!$H:$H,
    运动日明细!$C:$C, $B11,
    运动日明细!$F:$F, G$2,
    运动日明细!$A:$A, $A11
)</f>
        <v>1.9999999999999996</v>
      </c>
      <c r="H11" s="7">
        <f t="shared" si="2"/>
        <v>5.9999999999999964</v>
      </c>
      <c r="I11" s="7">
        <f>SUMIFS(
    运动日明细!$G:$G,
    运动日明细!$C:$C, $B11,
    运动日明细!$A:$A, $A11
)</f>
        <v>298.23</v>
      </c>
    </row>
    <row r="12" spans="1:9" ht="17.25">
      <c r="A12" s="6">
        <v>2026</v>
      </c>
      <c r="B12" s="6">
        <v>5</v>
      </c>
      <c r="C12" s="10">
        <f t="shared" si="0"/>
        <v>46048</v>
      </c>
      <c r="D12" s="10">
        <f t="shared" si="1"/>
        <v>46054</v>
      </c>
      <c r="E12">
        <f>SUMIFS(
    运动日明细!$H:$H,
    运动日明细!$C:$C, $B12,
    运动日明细!$F:$F, E$2,
    运动日明细!$A:$A, $A12
)</f>
        <v>2.0000000000000009</v>
      </c>
      <c r="F12">
        <f>SUMIFS(
    运动日明细!$H:$H,
    运动日明细!$C:$C, $B12,
    运动日明细!$F:$F, F$2,
    运动日明细!$A:$A, $A12
)</f>
        <v>0</v>
      </c>
      <c r="G12">
        <f>SUMIFS(
    运动日明细!$H:$H,
    运动日明细!$C:$C, $B12,
    运动日明细!$F:$F, G$2,
    运动日明细!$A:$A, $A12
)</f>
        <v>0</v>
      </c>
      <c r="H12" s="7">
        <f t="shared" si="2"/>
        <v>2.0000000000000009</v>
      </c>
      <c r="I12" s="7">
        <f>SUMIFS(
    运动日明细!$G:$G,
    运动日明细!$C:$C, $B12,
    运动日明细!$A:$A, $A12
)</f>
        <v>60.51</v>
      </c>
    </row>
    <row r="13" spans="1:9" ht="17.25">
      <c r="A13" s="6">
        <v>2026</v>
      </c>
      <c r="B13" s="6">
        <v>6</v>
      </c>
      <c r="C13" s="10">
        <f t="shared" si="0"/>
        <v>46055</v>
      </c>
      <c r="D13" s="10">
        <f t="shared" si="1"/>
        <v>46061</v>
      </c>
      <c r="E13">
        <f>SUMIFS(
    运动日明细!$H:$H,
    运动日明细!$C:$C, $B13,
    运动日明细!$F:$F, E$2,
    运动日明细!$A:$A, $A13
)</f>
        <v>0.99999999999999911</v>
      </c>
      <c r="F13">
        <f>SUMIFS(
    运动日明细!$H:$H,
    运动日明细!$C:$C, $B13,
    运动日明细!$F:$F, F$2,
    运动日明细!$A:$A, $A13
)</f>
        <v>2.0000000000000009</v>
      </c>
      <c r="G13">
        <f>SUMIFS(
    运动日明细!$H:$H,
    运动日明细!$C:$C, $B13,
    运动日明细!$F:$F, G$2,
    运动日明细!$A:$A, $A13
)</f>
        <v>0</v>
      </c>
      <c r="H13" s="7">
        <f t="shared" si="2"/>
        <v>3</v>
      </c>
      <c r="I13" s="7">
        <f>SUMIFS(
    运动日明细!$G:$G,
    运动日明细!$C:$C, $B13,
    运动日明细!$A:$A, $A13
)</f>
        <v>38</v>
      </c>
    </row>
    <row r="14" spans="1:9" ht="17.25">
      <c r="A14" s="6">
        <v>2026</v>
      </c>
      <c r="B14" s="6">
        <v>7</v>
      </c>
      <c r="C14" s="10">
        <f t="shared" si="0"/>
        <v>46062</v>
      </c>
      <c r="D14" s="10">
        <f t="shared" si="1"/>
        <v>46068</v>
      </c>
      <c r="E14">
        <f>SUMIFS(
    运动日明细!$H:$H,
    运动日明细!$C:$C, $B14,
    运动日明细!$F:$F, E$2,
    运动日明细!$A:$A, $A14
)</f>
        <v>0</v>
      </c>
      <c r="F14">
        <f>SUMIFS(
    运动日明细!$H:$H,
    运动日明细!$C:$C, $B14,
    运动日明细!$F:$F, F$2,
    运动日明细!$A:$A, $A14
)</f>
        <v>0</v>
      </c>
      <c r="G14">
        <f>SUMIFS(
    运动日明细!$H:$H,
    运动日明细!$C:$C, $B14,
    运动日明细!$F:$F, G$2,
    运动日明细!$A:$A, $A14
)</f>
        <v>0</v>
      </c>
      <c r="H14" s="7">
        <f t="shared" si="2"/>
        <v>0</v>
      </c>
      <c r="I14" s="7">
        <f>SUMIFS(
    运动日明细!$G:$G,
    运动日明细!$C:$C, $B14,
    运动日明细!$A:$A, $A14
)</f>
        <v>0</v>
      </c>
    </row>
    <row r="15" spans="1:9" ht="17.25">
      <c r="A15" s="6">
        <v>2026</v>
      </c>
      <c r="B15" s="6">
        <v>8</v>
      </c>
      <c r="C15" s="10">
        <f t="shared" si="0"/>
        <v>46069</v>
      </c>
      <c r="D15" s="10">
        <f t="shared" si="1"/>
        <v>46075</v>
      </c>
      <c r="E15">
        <f>SUMIFS(
    运动日明细!$H:$H,
    运动日明细!$C:$C, $B15,
    运动日明细!$F:$F, E$2,
    运动日明细!$A:$A, $A15
)</f>
        <v>0</v>
      </c>
      <c r="F15">
        <f>SUMIFS(
    运动日明细!$H:$H,
    运动日明细!$C:$C, $B15,
    运动日明细!$F:$F, F$2,
    运动日明细!$A:$A, $A15
)</f>
        <v>0</v>
      </c>
      <c r="G15">
        <f>SUMIFS(
    运动日明细!$H:$H,
    运动日明细!$C:$C, $B15,
    运动日明细!$F:$F, G$2,
    运动日明细!$A:$A, $A15
)</f>
        <v>0</v>
      </c>
      <c r="H15" s="7">
        <f t="shared" si="2"/>
        <v>0</v>
      </c>
      <c r="I15" s="7">
        <f>SUMIFS(
    运动日明细!$G:$G,
    运动日明细!$C:$C, $B15,
    运动日明细!$A:$A, $A15
)</f>
        <v>0</v>
      </c>
    </row>
    <row r="16" spans="1:9" ht="17.25">
      <c r="A16" s="6">
        <v>2026</v>
      </c>
      <c r="B16" s="6">
        <v>9</v>
      </c>
      <c r="C16" s="10">
        <f t="shared" si="0"/>
        <v>46076</v>
      </c>
      <c r="D16" s="10">
        <f t="shared" si="1"/>
        <v>46082</v>
      </c>
      <c r="E16">
        <f>SUMIFS(
    运动日明细!$H:$H,
    运动日明细!$C:$C, $B16,
    运动日明细!$F:$F, E$2,
    运动日明细!$A:$A, $A16
)</f>
        <v>0</v>
      </c>
      <c r="F16">
        <f>SUMIFS(
    运动日明细!$H:$H,
    运动日明细!$C:$C, $B16,
    运动日明细!$F:$F, F$2,
    运动日明细!$A:$A, $A16
)</f>
        <v>0</v>
      </c>
      <c r="G16">
        <f>SUMIFS(
    运动日明细!$H:$H,
    运动日明细!$C:$C, $B16,
    运动日明细!$F:$F, G$2,
    运动日明细!$A:$A, $A16
)</f>
        <v>0</v>
      </c>
      <c r="H16" s="7">
        <f t="shared" si="2"/>
        <v>0</v>
      </c>
      <c r="I16" s="7">
        <f>SUMIFS(
    运动日明细!$G:$G,
    运动日明细!$C:$C, $B16,
    运动日明细!$A:$A, $A16
)</f>
        <v>0</v>
      </c>
    </row>
    <row r="17" spans="1:9" ht="17.25">
      <c r="A17" s="6">
        <v>2026</v>
      </c>
      <c r="B17" s="6">
        <v>10</v>
      </c>
      <c r="C17" s="10">
        <f t="shared" si="0"/>
        <v>46083</v>
      </c>
      <c r="D17" s="10">
        <f t="shared" si="1"/>
        <v>46089</v>
      </c>
      <c r="E17">
        <f>SUMIFS(
    运动日明细!$H:$H,
    运动日明细!$C:$C, $B17,
    运动日明细!$F:$F, E$2,
    运动日明细!$A:$A, $A17
)</f>
        <v>0</v>
      </c>
      <c r="F17">
        <f>SUMIFS(
    运动日明细!$H:$H,
    运动日明细!$C:$C, $B17,
    运动日明细!$F:$F, F$2,
    运动日明细!$A:$A, $A17
)</f>
        <v>0</v>
      </c>
      <c r="G17">
        <f>SUMIFS(
    运动日明细!$H:$H,
    运动日明细!$C:$C, $B17,
    运动日明细!$F:$F, G$2,
    运动日明细!$A:$A, $A17
)</f>
        <v>0</v>
      </c>
      <c r="H17" s="7">
        <f t="shared" si="2"/>
        <v>0</v>
      </c>
      <c r="I17" s="7">
        <f>SUMIFS(
    运动日明细!$G:$G,
    运动日明细!$C:$C, $B17,
    运动日明细!$A:$A, $A17
)</f>
        <v>0</v>
      </c>
    </row>
    <row r="18" spans="1:9" ht="17.25">
      <c r="A18" s="6">
        <v>2026</v>
      </c>
      <c r="B18" s="6">
        <v>11</v>
      </c>
      <c r="C18" s="10">
        <f t="shared" si="0"/>
        <v>46090</v>
      </c>
      <c r="D18" s="10">
        <f t="shared" si="1"/>
        <v>46096</v>
      </c>
      <c r="E18">
        <f>SUMIFS(
    运动日明细!$H:$H,
    运动日明细!$C:$C, $B18,
    运动日明细!$F:$F, E$2,
    运动日明细!$A:$A, $A18
)</f>
        <v>0</v>
      </c>
      <c r="F18">
        <f>SUMIFS(
    运动日明细!$H:$H,
    运动日明细!$C:$C, $B18,
    运动日明细!$F:$F, F$2,
    运动日明细!$A:$A, $A18
)</f>
        <v>0</v>
      </c>
      <c r="G18">
        <f>SUMIFS(
    运动日明细!$H:$H,
    运动日明细!$C:$C, $B18,
    运动日明细!$F:$F, G$2,
    运动日明细!$A:$A, $A18
)</f>
        <v>0</v>
      </c>
      <c r="H18" s="7">
        <f t="shared" si="2"/>
        <v>0</v>
      </c>
      <c r="I18" s="7">
        <f>SUMIFS(
    运动日明细!$G:$G,
    运动日明细!$C:$C, $B18,
    运动日明细!$A:$A, $A18
)</f>
        <v>0</v>
      </c>
    </row>
    <row r="19" spans="1:9" ht="17.25">
      <c r="A19" s="6">
        <v>2026</v>
      </c>
      <c r="B19" s="6">
        <v>12</v>
      </c>
      <c r="C19" s="10">
        <f t="shared" si="0"/>
        <v>46097</v>
      </c>
      <c r="D19" s="10">
        <f t="shared" si="1"/>
        <v>46103</v>
      </c>
      <c r="E19">
        <f>SUMIFS(
    运动日明细!$H:$H,
    运动日明细!$C:$C, $B19,
    运动日明细!$F:$F, E$2,
    运动日明细!$A:$A, $A19
)</f>
        <v>0</v>
      </c>
      <c r="F19">
        <f>SUMIFS(
    运动日明细!$H:$H,
    运动日明细!$C:$C, $B19,
    运动日明细!$F:$F, F$2,
    运动日明细!$A:$A, $A19
)</f>
        <v>0</v>
      </c>
      <c r="G19">
        <f>SUMIFS(
    运动日明细!$H:$H,
    运动日明细!$C:$C, $B19,
    运动日明细!$F:$F, G$2,
    运动日明细!$A:$A, $A19
)</f>
        <v>0</v>
      </c>
      <c r="H19" s="7">
        <f t="shared" si="2"/>
        <v>0</v>
      </c>
      <c r="I19" s="7">
        <f>SUMIFS(
    运动日明细!$G:$G,
    运动日明细!$C:$C, $B19,
    运动日明细!$A:$A, $A19
)</f>
        <v>0</v>
      </c>
    </row>
    <row r="20" spans="1:9" ht="17.25">
      <c r="A20" s="6">
        <v>2026</v>
      </c>
      <c r="B20" s="6">
        <v>13</v>
      </c>
      <c r="C20" s="10">
        <f t="shared" si="0"/>
        <v>46104</v>
      </c>
      <c r="D20" s="10">
        <f t="shared" si="1"/>
        <v>46110</v>
      </c>
      <c r="E20">
        <f>SUMIFS(
    运动日明细!$H:$H,
    运动日明细!$C:$C, $B20,
    运动日明细!$F:$F, E$2,
    运动日明细!$A:$A, $A20
)</f>
        <v>0</v>
      </c>
      <c r="F20">
        <f>SUMIFS(
    运动日明细!$H:$H,
    运动日明细!$C:$C, $B20,
    运动日明细!$F:$F, F$2,
    运动日明细!$A:$A, $A20
)</f>
        <v>0</v>
      </c>
      <c r="G20">
        <f>SUMIFS(
    运动日明细!$H:$H,
    运动日明细!$C:$C, $B20,
    运动日明细!$F:$F, G$2,
    运动日明细!$A:$A, $A20
)</f>
        <v>0</v>
      </c>
      <c r="H20" s="7">
        <f t="shared" si="2"/>
        <v>0</v>
      </c>
      <c r="I20" s="7">
        <f>SUMIFS(
    运动日明细!$G:$G,
    运动日明细!$C:$C, $B20,
    运动日明细!$A:$A, $A20
)</f>
        <v>0</v>
      </c>
    </row>
    <row r="21" spans="1:9" ht="17.25">
      <c r="A21" s="6">
        <v>2026</v>
      </c>
      <c r="B21" s="6">
        <v>14</v>
      </c>
      <c r="C21" s="10">
        <f t="shared" si="0"/>
        <v>46111</v>
      </c>
      <c r="D21" s="10">
        <f t="shared" si="1"/>
        <v>46117</v>
      </c>
      <c r="E21">
        <f>SUMIFS(
    运动日明细!$H:$H,
    运动日明细!$C:$C, $B21,
    运动日明细!$F:$F, E$2,
    运动日明细!$A:$A, $A21
)</f>
        <v>0</v>
      </c>
      <c r="F21">
        <f>SUMIFS(
    运动日明细!$H:$H,
    运动日明细!$C:$C, $B21,
    运动日明细!$F:$F, F$2,
    运动日明细!$A:$A, $A21
)</f>
        <v>0</v>
      </c>
      <c r="G21">
        <f>SUMIFS(
    运动日明细!$H:$H,
    运动日明细!$C:$C, $B21,
    运动日明细!$F:$F, G$2,
    运动日明细!$A:$A, $A21
)</f>
        <v>0</v>
      </c>
      <c r="H21" s="7">
        <f t="shared" si="2"/>
        <v>0</v>
      </c>
      <c r="I21" s="7">
        <f>SUMIFS(
    运动日明细!$G:$G,
    运动日明细!$C:$C, $B21,
    运动日明细!$A:$A, $A21
)</f>
        <v>0</v>
      </c>
    </row>
    <row r="22" spans="1:9" ht="17.25">
      <c r="A22" s="6">
        <v>2026</v>
      </c>
      <c r="B22" s="6">
        <v>15</v>
      </c>
      <c r="C22" s="10">
        <f t="shared" si="0"/>
        <v>46118</v>
      </c>
      <c r="D22" s="10">
        <f t="shared" si="1"/>
        <v>46124</v>
      </c>
      <c r="E22">
        <f>SUMIFS(
    运动日明细!$H:$H,
    运动日明细!$C:$C, $B22,
    运动日明细!$F:$F, E$2,
    运动日明细!$A:$A, $A22
)</f>
        <v>0</v>
      </c>
      <c r="F22">
        <f>SUMIFS(
    运动日明细!$H:$H,
    运动日明细!$C:$C, $B22,
    运动日明细!$F:$F, F$2,
    运动日明细!$A:$A, $A22
)</f>
        <v>0</v>
      </c>
      <c r="G22">
        <f>SUMIFS(
    运动日明细!$H:$H,
    运动日明细!$C:$C, $B22,
    运动日明细!$F:$F, G$2,
    运动日明细!$A:$A, $A22
)</f>
        <v>0</v>
      </c>
      <c r="H22" s="7">
        <f t="shared" si="2"/>
        <v>0</v>
      </c>
      <c r="I22" s="7">
        <f>SUMIFS(
    运动日明细!$G:$G,
    运动日明细!$C:$C, $B22,
    运动日明细!$A:$A, $A22
)</f>
        <v>0</v>
      </c>
    </row>
    <row r="23" spans="1:9" ht="17.25">
      <c r="A23" s="6">
        <v>2026</v>
      </c>
      <c r="B23" s="6">
        <v>16</v>
      </c>
      <c r="C23" s="10">
        <f t="shared" si="0"/>
        <v>46125</v>
      </c>
      <c r="D23" s="10">
        <f t="shared" si="1"/>
        <v>46131</v>
      </c>
      <c r="E23">
        <f>SUMIFS(
    运动日明细!$H:$H,
    运动日明细!$C:$C, $B23,
    运动日明细!$F:$F, E$2,
    运动日明细!$A:$A, $A23
)</f>
        <v>0</v>
      </c>
      <c r="F23">
        <f>SUMIFS(
    运动日明细!$H:$H,
    运动日明细!$C:$C, $B23,
    运动日明细!$F:$F, F$2,
    运动日明细!$A:$A, $A23
)</f>
        <v>0</v>
      </c>
      <c r="G23">
        <f>SUMIFS(
    运动日明细!$H:$H,
    运动日明细!$C:$C, $B23,
    运动日明细!$F:$F, G$2,
    运动日明细!$A:$A, $A23
)</f>
        <v>0</v>
      </c>
      <c r="H23" s="7">
        <f t="shared" si="2"/>
        <v>0</v>
      </c>
      <c r="I23" s="7">
        <f>SUMIFS(
    运动日明细!$G:$G,
    运动日明细!$C:$C, $B23,
    运动日明细!$A:$A, $A23
)</f>
        <v>0</v>
      </c>
    </row>
    <row r="24" spans="1:9" ht="17.25">
      <c r="A24" s="6">
        <v>2026</v>
      </c>
      <c r="B24" s="6">
        <v>17</v>
      </c>
      <c r="C24" s="10">
        <f t="shared" si="0"/>
        <v>46132</v>
      </c>
      <c r="D24" s="10">
        <f t="shared" si="1"/>
        <v>46138</v>
      </c>
      <c r="E24">
        <f>SUMIFS(
    运动日明细!$H:$H,
    运动日明细!$C:$C, $B24,
    运动日明细!$F:$F, E$2,
    运动日明细!$A:$A, $A24
)</f>
        <v>0</v>
      </c>
      <c r="F24">
        <f>SUMIFS(
    运动日明细!$H:$H,
    运动日明细!$C:$C, $B24,
    运动日明细!$F:$F, F$2,
    运动日明细!$A:$A, $A24
)</f>
        <v>0</v>
      </c>
      <c r="G24">
        <f>SUMIFS(
    运动日明细!$H:$H,
    运动日明细!$C:$C, $B24,
    运动日明细!$F:$F, G$2,
    运动日明细!$A:$A, $A24
)</f>
        <v>0</v>
      </c>
      <c r="H24" s="7">
        <f t="shared" si="2"/>
        <v>0</v>
      </c>
      <c r="I24" s="7">
        <f>SUMIFS(
    运动日明细!$G:$G,
    运动日明细!$C:$C, $B24,
    运动日明细!$A:$A, $A24
)</f>
        <v>0</v>
      </c>
    </row>
    <row r="25" spans="1:9" ht="17.25">
      <c r="A25" s="6">
        <v>2026</v>
      </c>
      <c r="B25" s="6">
        <v>18</v>
      </c>
      <c r="C25" s="10">
        <f t="shared" si="0"/>
        <v>46139</v>
      </c>
      <c r="D25" s="10">
        <f t="shared" si="1"/>
        <v>46145</v>
      </c>
      <c r="E25">
        <f>SUMIFS(
    运动日明细!$H:$H,
    运动日明细!$C:$C, $B25,
    运动日明细!$F:$F, E$2,
    运动日明细!$A:$A, $A25
)</f>
        <v>0</v>
      </c>
      <c r="F25">
        <f>SUMIFS(
    运动日明细!$H:$H,
    运动日明细!$C:$C, $B25,
    运动日明细!$F:$F, F$2,
    运动日明细!$A:$A, $A25
)</f>
        <v>0</v>
      </c>
      <c r="G25">
        <f>SUMIFS(
    运动日明细!$H:$H,
    运动日明细!$C:$C, $B25,
    运动日明细!$F:$F, G$2,
    运动日明细!$A:$A, $A25
)</f>
        <v>0</v>
      </c>
      <c r="H25" s="7">
        <f t="shared" si="2"/>
        <v>0</v>
      </c>
      <c r="I25" s="7">
        <f>SUMIFS(
    运动日明细!$G:$G,
    运动日明细!$C:$C, $B25,
    运动日明细!$A:$A, $A25
)</f>
        <v>0</v>
      </c>
    </row>
    <row r="26" spans="1:9" ht="17.25">
      <c r="A26" s="6">
        <v>2026</v>
      </c>
      <c r="B26" s="6">
        <v>19</v>
      </c>
      <c r="C26" s="10">
        <f t="shared" si="0"/>
        <v>46146</v>
      </c>
      <c r="D26" s="10">
        <f t="shared" si="1"/>
        <v>46152</v>
      </c>
      <c r="E26">
        <f>SUMIFS(
    运动日明细!$H:$H,
    运动日明细!$C:$C, $B26,
    运动日明细!$F:$F, E$2,
    运动日明细!$A:$A, $A26
)</f>
        <v>0</v>
      </c>
      <c r="F26">
        <f>SUMIFS(
    运动日明细!$H:$H,
    运动日明细!$C:$C, $B26,
    运动日明细!$F:$F, F$2,
    运动日明细!$A:$A, $A26
)</f>
        <v>0</v>
      </c>
      <c r="G26">
        <f>SUMIFS(
    运动日明细!$H:$H,
    运动日明细!$C:$C, $B26,
    运动日明细!$F:$F, G$2,
    运动日明细!$A:$A, $A26
)</f>
        <v>0</v>
      </c>
      <c r="H26" s="7">
        <f t="shared" si="2"/>
        <v>0</v>
      </c>
      <c r="I26" s="7">
        <f>SUMIFS(
    运动日明细!$G:$G,
    运动日明细!$C:$C, $B26,
    运动日明细!$A:$A, $A26
)</f>
        <v>0</v>
      </c>
    </row>
    <row r="27" spans="1:9" ht="17.25">
      <c r="A27" s="6">
        <v>2026</v>
      </c>
      <c r="B27" s="6">
        <v>20</v>
      </c>
      <c r="C27" s="10">
        <f t="shared" si="0"/>
        <v>46153</v>
      </c>
      <c r="D27" s="10">
        <f t="shared" si="1"/>
        <v>46159</v>
      </c>
      <c r="E27">
        <f>SUMIFS(
    运动日明细!$H:$H,
    运动日明细!$C:$C, $B27,
    运动日明细!$F:$F, E$2,
    运动日明细!$A:$A, $A27
)</f>
        <v>0</v>
      </c>
      <c r="F27">
        <f>SUMIFS(
    运动日明细!$H:$H,
    运动日明细!$C:$C, $B27,
    运动日明细!$F:$F, F$2,
    运动日明细!$A:$A, $A27
)</f>
        <v>0</v>
      </c>
      <c r="G27">
        <f>SUMIFS(
    运动日明细!$H:$H,
    运动日明细!$C:$C, $B27,
    运动日明细!$F:$F, G$2,
    运动日明细!$A:$A, $A27
)</f>
        <v>0</v>
      </c>
      <c r="H27" s="7">
        <f t="shared" si="2"/>
        <v>0</v>
      </c>
      <c r="I27" s="7">
        <f>SUMIFS(
    运动日明细!$G:$G,
    运动日明细!$C:$C, $B27,
    运动日明细!$A:$A, $A27
)</f>
        <v>0</v>
      </c>
    </row>
    <row r="28" spans="1:9" ht="17.25">
      <c r="A28" s="6">
        <v>2026</v>
      </c>
      <c r="B28" s="6">
        <v>21</v>
      </c>
      <c r="C28" s="10">
        <f t="shared" si="0"/>
        <v>46160</v>
      </c>
      <c r="D28" s="10">
        <f t="shared" si="1"/>
        <v>46166</v>
      </c>
      <c r="E28">
        <f>SUMIFS(
    运动日明细!$H:$H,
    运动日明细!$C:$C, $B28,
    运动日明细!$F:$F, E$2,
    运动日明细!$A:$A, $A28
)</f>
        <v>0</v>
      </c>
      <c r="F28">
        <f>SUMIFS(
    运动日明细!$H:$H,
    运动日明细!$C:$C, $B28,
    运动日明细!$F:$F, F$2,
    运动日明细!$A:$A, $A28
)</f>
        <v>0</v>
      </c>
      <c r="G28">
        <f>SUMIFS(
    运动日明细!$H:$H,
    运动日明细!$C:$C, $B28,
    运动日明细!$F:$F, G$2,
    运动日明细!$A:$A, $A28
)</f>
        <v>0</v>
      </c>
      <c r="H28" s="7">
        <f t="shared" si="2"/>
        <v>0</v>
      </c>
      <c r="I28" s="7">
        <f>SUMIFS(
    运动日明细!$G:$G,
    运动日明细!$C:$C, $B28,
    运动日明细!$A:$A, $A28
)</f>
        <v>0</v>
      </c>
    </row>
    <row r="29" spans="1:9" ht="17.25">
      <c r="A29" s="6">
        <v>2026</v>
      </c>
      <c r="B29" s="6">
        <v>22</v>
      </c>
      <c r="C29" s="10">
        <f t="shared" si="0"/>
        <v>46167</v>
      </c>
      <c r="D29" s="10">
        <f t="shared" si="1"/>
        <v>46173</v>
      </c>
      <c r="E29">
        <f>SUMIFS(
    运动日明细!$H:$H,
    运动日明细!$C:$C, $B29,
    运动日明细!$F:$F, E$2,
    运动日明细!$A:$A, $A29
)</f>
        <v>0</v>
      </c>
      <c r="F29">
        <f>SUMIFS(
    运动日明细!$H:$H,
    运动日明细!$C:$C, $B29,
    运动日明细!$F:$F, F$2,
    运动日明细!$A:$A, $A29
)</f>
        <v>0</v>
      </c>
      <c r="G29">
        <f>SUMIFS(
    运动日明细!$H:$H,
    运动日明细!$C:$C, $B29,
    运动日明细!$F:$F, G$2,
    运动日明细!$A:$A, $A29
)</f>
        <v>0</v>
      </c>
      <c r="H29" s="7">
        <f t="shared" si="2"/>
        <v>0</v>
      </c>
      <c r="I29" s="7">
        <f>SUMIFS(
    运动日明细!$G:$G,
    运动日明细!$C:$C, $B29,
    运动日明细!$A:$A, $A29
)</f>
        <v>0</v>
      </c>
    </row>
    <row r="30" spans="1:9" ht="17.25">
      <c r="A30" s="6">
        <v>2026</v>
      </c>
      <c r="B30" s="6">
        <v>23</v>
      </c>
      <c r="C30" s="10">
        <f t="shared" si="0"/>
        <v>46174</v>
      </c>
      <c r="D30" s="10">
        <f t="shared" si="1"/>
        <v>46180</v>
      </c>
      <c r="E30">
        <f>SUMIFS(
    运动日明细!$H:$H,
    运动日明细!$C:$C, $B30,
    运动日明细!$F:$F, E$2,
    运动日明细!$A:$A, $A30
)</f>
        <v>0</v>
      </c>
      <c r="F30">
        <f>SUMIFS(
    运动日明细!$H:$H,
    运动日明细!$C:$C, $B30,
    运动日明细!$F:$F, F$2,
    运动日明细!$A:$A, $A30
)</f>
        <v>0</v>
      </c>
      <c r="G30">
        <f>SUMIFS(
    运动日明细!$H:$H,
    运动日明细!$C:$C, $B30,
    运动日明细!$F:$F, G$2,
    运动日明细!$A:$A, $A30
)</f>
        <v>0</v>
      </c>
      <c r="H30" s="7">
        <f t="shared" si="2"/>
        <v>0</v>
      </c>
      <c r="I30" s="7">
        <f>SUMIFS(
    运动日明细!$G:$G,
    运动日明细!$C:$C, $B30,
    运动日明细!$A:$A, $A30
)</f>
        <v>0</v>
      </c>
    </row>
    <row r="31" spans="1:9" ht="17.25">
      <c r="A31" s="6">
        <v>2026</v>
      </c>
      <c r="B31" s="6">
        <v>24</v>
      </c>
      <c r="C31" s="10">
        <f t="shared" si="0"/>
        <v>46181</v>
      </c>
      <c r="D31" s="10">
        <f t="shared" si="1"/>
        <v>46187</v>
      </c>
      <c r="E31">
        <f>SUMIFS(
    运动日明细!$H:$H,
    运动日明细!$C:$C, $B31,
    运动日明细!$F:$F, E$2,
    运动日明细!$A:$A, $A31
)</f>
        <v>0</v>
      </c>
      <c r="F31">
        <f>SUMIFS(
    运动日明细!$H:$H,
    运动日明细!$C:$C, $B31,
    运动日明细!$F:$F, F$2,
    运动日明细!$A:$A, $A31
)</f>
        <v>0</v>
      </c>
      <c r="G31">
        <f>SUMIFS(
    运动日明细!$H:$H,
    运动日明细!$C:$C, $B31,
    运动日明细!$F:$F, G$2,
    运动日明细!$A:$A, $A31
)</f>
        <v>0</v>
      </c>
      <c r="H31" s="7">
        <f t="shared" si="2"/>
        <v>0</v>
      </c>
      <c r="I31" s="7">
        <f>SUMIFS(
    运动日明细!$G:$G,
    运动日明细!$C:$C, $B31,
    运动日明细!$A:$A, $A31
)</f>
        <v>0</v>
      </c>
    </row>
    <row r="32" spans="1:9" ht="17.25">
      <c r="A32" s="6">
        <v>2026</v>
      </c>
      <c r="B32" s="6">
        <v>25</v>
      </c>
      <c r="C32" s="10">
        <f t="shared" si="0"/>
        <v>46188</v>
      </c>
      <c r="D32" s="10">
        <f t="shared" si="1"/>
        <v>46194</v>
      </c>
      <c r="E32">
        <f>SUMIFS(
    运动日明细!$H:$H,
    运动日明细!$C:$C, $B32,
    运动日明细!$F:$F, E$2,
    运动日明细!$A:$A, $A32
)</f>
        <v>0</v>
      </c>
      <c r="F32">
        <f>SUMIFS(
    运动日明细!$H:$H,
    运动日明细!$C:$C, $B32,
    运动日明细!$F:$F, F$2,
    运动日明细!$A:$A, $A32
)</f>
        <v>0</v>
      </c>
      <c r="G32">
        <f>SUMIFS(
    运动日明细!$H:$H,
    运动日明细!$C:$C, $B32,
    运动日明细!$F:$F, G$2,
    运动日明细!$A:$A, $A32
)</f>
        <v>0</v>
      </c>
      <c r="H32" s="7">
        <f t="shared" si="2"/>
        <v>0</v>
      </c>
      <c r="I32" s="7">
        <f>SUMIFS(
    运动日明细!$G:$G,
    运动日明细!$C:$C, $B32,
    运动日明细!$A:$A, $A32
)</f>
        <v>0</v>
      </c>
    </row>
    <row r="33" spans="1:9" ht="17.25">
      <c r="A33" s="6">
        <v>2026</v>
      </c>
      <c r="B33" s="6">
        <v>26</v>
      </c>
      <c r="C33" s="10">
        <f t="shared" si="0"/>
        <v>46195</v>
      </c>
      <c r="D33" s="10">
        <f t="shared" si="1"/>
        <v>46201</v>
      </c>
      <c r="E33">
        <f>SUMIFS(
    运动日明细!$H:$H,
    运动日明细!$C:$C, $B33,
    运动日明细!$F:$F, E$2,
    运动日明细!$A:$A, $A33
)</f>
        <v>0</v>
      </c>
      <c r="F33">
        <f>SUMIFS(
    运动日明细!$H:$H,
    运动日明细!$C:$C, $B33,
    运动日明细!$F:$F, F$2,
    运动日明细!$A:$A, $A33
)</f>
        <v>0</v>
      </c>
      <c r="G33">
        <f>SUMIFS(
    运动日明细!$H:$H,
    运动日明细!$C:$C, $B33,
    运动日明细!$F:$F, G$2,
    运动日明细!$A:$A, $A33
)</f>
        <v>0</v>
      </c>
      <c r="H33" s="7">
        <f t="shared" si="2"/>
        <v>0</v>
      </c>
      <c r="I33" s="7">
        <f>SUMIFS(
    运动日明细!$G:$G,
    运动日明细!$C:$C, $B33,
    运动日明细!$A:$A, $A33
)</f>
        <v>0</v>
      </c>
    </row>
    <row r="34" spans="1:9" ht="17.25">
      <c r="A34" s="6">
        <v>2026</v>
      </c>
      <c r="B34" s="6">
        <v>27</v>
      </c>
      <c r="C34" s="10">
        <f t="shared" si="0"/>
        <v>46202</v>
      </c>
      <c r="D34" s="10">
        <f t="shared" si="1"/>
        <v>46208</v>
      </c>
      <c r="E34">
        <f>SUMIFS(
    运动日明细!$H:$H,
    运动日明细!$C:$C, $B34,
    运动日明细!$F:$F, E$2,
    运动日明细!$A:$A, $A34
)</f>
        <v>0</v>
      </c>
      <c r="F34">
        <f>SUMIFS(
    运动日明细!$H:$H,
    运动日明细!$C:$C, $B34,
    运动日明细!$F:$F, F$2,
    运动日明细!$A:$A, $A34
)</f>
        <v>0</v>
      </c>
      <c r="G34">
        <f>SUMIFS(
    运动日明细!$H:$H,
    运动日明细!$C:$C, $B34,
    运动日明细!$F:$F, G$2,
    运动日明细!$A:$A, $A34
)</f>
        <v>0</v>
      </c>
      <c r="H34" s="7">
        <f t="shared" si="2"/>
        <v>0</v>
      </c>
      <c r="I34" s="7">
        <f>SUMIFS(
    运动日明细!$G:$G,
    运动日明细!$C:$C, $B34,
    运动日明细!$A:$A, $A34
)</f>
        <v>0</v>
      </c>
    </row>
    <row r="35" spans="1:9" ht="17.25">
      <c r="A35" s="6">
        <v>2026</v>
      </c>
      <c r="B35" s="6">
        <v>28</v>
      </c>
      <c r="C35" s="10">
        <f t="shared" ref="C35:C60" si="3">DATE(A35,1,1) - WEEKDAY(DATE(A35,1,1),2) + (B35-1)*7 + 1</f>
        <v>46209</v>
      </c>
      <c r="D35" s="10">
        <f t="shared" ref="D35:D60" si="4">DATE(A35,1,1) - WEEKDAY(DATE(A35,1,1),2) + (B35-1)*7 + 7</f>
        <v>46215</v>
      </c>
      <c r="E35">
        <f>SUMIFS(
    运动日明细!$H:$H,
    运动日明细!$C:$C, $B35,
    运动日明细!$F:$F, E$2,
    运动日明细!$A:$A, $A35
)</f>
        <v>0</v>
      </c>
      <c r="F35">
        <f>SUMIFS(
    运动日明细!$H:$H,
    运动日明细!$C:$C, $B35,
    运动日明细!$F:$F, F$2,
    运动日明细!$A:$A, $A35
)</f>
        <v>0</v>
      </c>
      <c r="G35">
        <f>SUMIFS(
    运动日明细!$H:$H,
    运动日明细!$C:$C, $B35,
    运动日明细!$F:$F, G$2,
    运动日明细!$A:$A, $A35
)</f>
        <v>0</v>
      </c>
      <c r="H35" s="7">
        <f t="shared" ref="H35:H60" si="5">SUM(E35:G35)</f>
        <v>0</v>
      </c>
      <c r="I35" s="7">
        <f>SUMIFS(
    运动日明细!$G:$G,
    运动日明细!$C:$C, $B35,
    运动日明细!$A:$A, $A35
)</f>
        <v>0</v>
      </c>
    </row>
    <row r="36" spans="1:9" ht="17.25">
      <c r="A36" s="6">
        <v>2026</v>
      </c>
      <c r="B36" s="6">
        <v>29</v>
      </c>
      <c r="C36" s="10">
        <f t="shared" si="3"/>
        <v>46216</v>
      </c>
      <c r="D36" s="10">
        <f t="shared" si="4"/>
        <v>46222</v>
      </c>
      <c r="E36">
        <f>SUMIFS(
    运动日明细!$H:$H,
    运动日明细!$C:$C, $B36,
    运动日明细!$F:$F, E$2,
    运动日明细!$A:$A, $A36
)</f>
        <v>0</v>
      </c>
      <c r="F36">
        <f>SUMIFS(
    运动日明细!$H:$H,
    运动日明细!$C:$C, $B36,
    运动日明细!$F:$F, F$2,
    运动日明细!$A:$A, $A36
)</f>
        <v>0</v>
      </c>
      <c r="G36">
        <f>SUMIFS(
    运动日明细!$H:$H,
    运动日明细!$C:$C, $B36,
    运动日明细!$F:$F, G$2,
    运动日明细!$A:$A, $A36
)</f>
        <v>0</v>
      </c>
      <c r="H36" s="7">
        <f t="shared" si="5"/>
        <v>0</v>
      </c>
      <c r="I36" s="7">
        <f>SUMIFS(
    运动日明细!$G:$G,
    运动日明细!$C:$C, $B36,
    运动日明细!$A:$A, $A36
)</f>
        <v>0</v>
      </c>
    </row>
    <row r="37" spans="1:9" ht="17.25">
      <c r="A37" s="6">
        <v>2026</v>
      </c>
      <c r="B37" s="6">
        <v>30</v>
      </c>
      <c r="C37" s="10">
        <f t="shared" si="3"/>
        <v>46223</v>
      </c>
      <c r="D37" s="10">
        <f t="shared" si="4"/>
        <v>46229</v>
      </c>
      <c r="E37">
        <f>SUMIFS(
    运动日明细!$H:$H,
    运动日明细!$C:$C, $B37,
    运动日明细!$F:$F, E$2,
    运动日明细!$A:$A, $A37
)</f>
        <v>0</v>
      </c>
      <c r="F37">
        <f>SUMIFS(
    运动日明细!$H:$H,
    运动日明细!$C:$C, $B37,
    运动日明细!$F:$F, F$2,
    运动日明细!$A:$A, $A37
)</f>
        <v>0</v>
      </c>
      <c r="G37">
        <f>SUMIFS(
    运动日明细!$H:$H,
    运动日明细!$C:$C, $B37,
    运动日明细!$F:$F, G$2,
    运动日明细!$A:$A, $A37
)</f>
        <v>0</v>
      </c>
      <c r="H37" s="7">
        <f t="shared" si="5"/>
        <v>0</v>
      </c>
      <c r="I37" s="7">
        <f>SUMIFS(
    运动日明细!$G:$G,
    运动日明细!$C:$C, $B37,
    运动日明细!$A:$A, $A37
)</f>
        <v>0</v>
      </c>
    </row>
    <row r="38" spans="1:9" ht="17.25">
      <c r="A38" s="6">
        <v>2026</v>
      </c>
      <c r="B38" s="6">
        <v>31</v>
      </c>
      <c r="C38" s="10">
        <f t="shared" si="3"/>
        <v>46230</v>
      </c>
      <c r="D38" s="10">
        <f t="shared" si="4"/>
        <v>46236</v>
      </c>
      <c r="E38">
        <f>SUMIFS(
    运动日明细!$H:$H,
    运动日明细!$C:$C, $B38,
    运动日明细!$F:$F, E$2,
    运动日明细!$A:$A, $A38
)</f>
        <v>0</v>
      </c>
      <c r="F38">
        <f>SUMIFS(
    运动日明细!$H:$H,
    运动日明细!$C:$C, $B38,
    运动日明细!$F:$F, F$2,
    运动日明细!$A:$A, $A38
)</f>
        <v>0</v>
      </c>
      <c r="G38">
        <f>SUMIFS(
    运动日明细!$H:$H,
    运动日明细!$C:$C, $B38,
    运动日明细!$F:$F, G$2,
    运动日明细!$A:$A, $A38
)</f>
        <v>0</v>
      </c>
      <c r="H38" s="7">
        <f t="shared" si="5"/>
        <v>0</v>
      </c>
      <c r="I38" s="7">
        <f>SUMIFS(
    运动日明细!$G:$G,
    运动日明细!$C:$C, $B38,
    运动日明细!$A:$A, $A38
)</f>
        <v>0</v>
      </c>
    </row>
    <row r="39" spans="1:9" ht="17.25">
      <c r="A39" s="6">
        <v>2026</v>
      </c>
      <c r="B39" s="6">
        <v>32</v>
      </c>
      <c r="C39" s="10">
        <f t="shared" si="3"/>
        <v>46237</v>
      </c>
      <c r="D39" s="10">
        <f t="shared" si="4"/>
        <v>46243</v>
      </c>
      <c r="E39">
        <f>SUMIFS(
    运动日明细!$H:$H,
    运动日明细!$C:$C, $B39,
    运动日明细!$F:$F, E$2,
    运动日明细!$A:$A, $A39
)</f>
        <v>0</v>
      </c>
      <c r="F39">
        <f>SUMIFS(
    运动日明细!$H:$H,
    运动日明细!$C:$C, $B39,
    运动日明细!$F:$F, F$2,
    运动日明细!$A:$A, $A39
)</f>
        <v>0</v>
      </c>
      <c r="G39">
        <f>SUMIFS(
    运动日明细!$H:$H,
    运动日明细!$C:$C, $B39,
    运动日明细!$F:$F, G$2,
    运动日明细!$A:$A, $A39
)</f>
        <v>0</v>
      </c>
      <c r="H39" s="7">
        <f t="shared" si="5"/>
        <v>0</v>
      </c>
      <c r="I39" s="7">
        <f>SUMIFS(
    运动日明细!$G:$G,
    运动日明细!$C:$C, $B39,
    运动日明细!$A:$A, $A39
)</f>
        <v>0</v>
      </c>
    </row>
    <row r="40" spans="1:9" ht="17.25">
      <c r="A40" s="6">
        <v>2026</v>
      </c>
      <c r="B40" s="6">
        <v>33</v>
      </c>
      <c r="C40" s="10">
        <f t="shared" si="3"/>
        <v>46244</v>
      </c>
      <c r="D40" s="10">
        <f t="shared" si="4"/>
        <v>46250</v>
      </c>
      <c r="E40">
        <f>SUMIFS(
    运动日明细!$H:$H,
    运动日明细!$C:$C, $B40,
    运动日明细!$F:$F, E$2,
    运动日明细!$A:$A, $A40
)</f>
        <v>0</v>
      </c>
      <c r="F40">
        <f>SUMIFS(
    运动日明细!$H:$H,
    运动日明细!$C:$C, $B40,
    运动日明细!$F:$F, F$2,
    运动日明细!$A:$A, $A40
)</f>
        <v>0</v>
      </c>
      <c r="G40">
        <f>SUMIFS(
    运动日明细!$H:$H,
    运动日明细!$C:$C, $B40,
    运动日明细!$F:$F, G$2,
    运动日明细!$A:$A, $A40
)</f>
        <v>0</v>
      </c>
      <c r="H40" s="7">
        <f t="shared" si="5"/>
        <v>0</v>
      </c>
      <c r="I40" s="7">
        <f>SUMIFS(
    运动日明细!$G:$G,
    运动日明细!$C:$C, $B40,
    运动日明细!$A:$A, $A40
)</f>
        <v>0</v>
      </c>
    </row>
    <row r="41" spans="1:9" ht="17.25">
      <c r="A41" s="6">
        <v>2026</v>
      </c>
      <c r="B41" s="6">
        <v>34</v>
      </c>
      <c r="C41" s="10">
        <f t="shared" si="3"/>
        <v>46251</v>
      </c>
      <c r="D41" s="10">
        <f t="shared" si="4"/>
        <v>46257</v>
      </c>
      <c r="E41">
        <f>SUMIFS(
    运动日明细!$H:$H,
    运动日明细!$C:$C, $B41,
    运动日明细!$F:$F, E$2,
    运动日明细!$A:$A, $A41
)</f>
        <v>0</v>
      </c>
      <c r="F41">
        <f>SUMIFS(
    运动日明细!$H:$H,
    运动日明细!$C:$C, $B41,
    运动日明细!$F:$F, F$2,
    运动日明细!$A:$A, $A41
)</f>
        <v>0</v>
      </c>
      <c r="G41">
        <f>SUMIFS(
    运动日明细!$H:$H,
    运动日明细!$C:$C, $B41,
    运动日明细!$F:$F, G$2,
    运动日明细!$A:$A, $A41
)</f>
        <v>0</v>
      </c>
      <c r="H41" s="7">
        <f t="shared" si="5"/>
        <v>0</v>
      </c>
      <c r="I41" s="7">
        <f>SUMIFS(
    运动日明细!$G:$G,
    运动日明细!$C:$C, $B41,
    运动日明细!$A:$A, $A41
)</f>
        <v>0</v>
      </c>
    </row>
    <row r="42" spans="1:9" ht="17.25">
      <c r="A42" s="6">
        <v>2026</v>
      </c>
      <c r="B42" s="6">
        <v>35</v>
      </c>
      <c r="C42" s="10">
        <f t="shared" si="3"/>
        <v>46258</v>
      </c>
      <c r="D42" s="10">
        <f t="shared" si="4"/>
        <v>46264</v>
      </c>
      <c r="E42">
        <f>SUMIFS(
    运动日明细!$H:$H,
    运动日明细!$C:$C, $B42,
    运动日明细!$F:$F, E$2,
    运动日明细!$A:$A, $A42
)</f>
        <v>0</v>
      </c>
      <c r="F42">
        <f>SUMIFS(
    运动日明细!$H:$H,
    运动日明细!$C:$C, $B42,
    运动日明细!$F:$F, F$2,
    运动日明细!$A:$A, $A42
)</f>
        <v>0</v>
      </c>
      <c r="G42">
        <f>SUMIFS(
    运动日明细!$H:$H,
    运动日明细!$C:$C, $B42,
    运动日明细!$F:$F, G$2,
    运动日明细!$A:$A, $A42
)</f>
        <v>0</v>
      </c>
      <c r="H42" s="7">
        <f t="shared" si="5"/>
        <v>0</v>
      </c>
      <c r="I42" s="7">
        <f>SUMIFS(
    运动日明细!$G:$G,
    运动日明细!$C:$C, $B42,
    运动日明细!$A:$A, $A42
)</f>
        <v>0</v>
      </c>
    </row>
    <row r="43" spans="1:9" ht="17.25">
      <c r="A43" s="6">
        <v>2026</v>
      </c>
      <c r="B43" s="6">
        <v>36</v>
      </c>
      <c r="C43" s="10">
        <f t="shared" si="3"/>
        <v>46265</v>
      </c>
      <c r="D43" s="10">
        <f t="shared" si="4"/>
        <v>46271</v>
      </c>
      <c r="E43">
        <f>SUMIFS(
    运动日明细!$H:$H,
    运动日明细!$C:$C, $B43,
    运动日明细!$F:$F, E$2,
    运动日明细!$A:$A, $A43
)</f>
        <v>0</v>
      </c>
      <c r="F43">
        <f>SUMIFS(
    运动日明细!$H:$H,
    运动日明细!$C:$C, $B43,
    运动日明细!$F:$F, F$2,
    运动日明细!$A:$A, $A43
)</f>
        <v>0</v>
      </c>
      <c r="G43">
        <f>SUMIFS(
    运动日明细!$H:$H,
    运动日明细!$C:$C, $B43,
    运动日明细!$F:$F, G$2,
    运动日明细!$A:$A, $A43
)</f>
        <v>0</v>
      </c>
      <c r="H43" s="7">
        <f t="shared" si="5"/>
        <v>0</v>
      </c>
      <c r="I43" s="7">
        <f>SUMIFS(
    运动日明细!$G:$G,
    运动日明细!$C:$C, $B43,
    运动日明细!$A:$A, $A43
)</f>
        <v>0</v>
      </c>
    </row>
    <row r="44" spans="1:9" ht="17.25">
      <c r="A44" s="6">
        <v>2026</v>
      </c>
      <c r="B44" s="6">
        <v>37</v>
      </c>
      <c r="C44" s="10">
        <f t="shared" si="3"/>
        <v>46272</v>
      </c>
      <c r="D44" s="10">
        <f t="shared" si="4"/>
        <v>46278</v>
      </c>
      <c r="E44">
        <f>SUMIFS(
    运动日明细!$H:$H,
    运动日明细!$C:$C, $B44,
    运动日明细!$F:$F, E$2,
    运动日明细!$A:$A, $A44
)</f>
        <v>0</v>
      </c>
      <c r="F44">
        <f>SUMIFS(
    运动日明细!$H:$H,
    运动日明细!$C:$C, $B44,
    运动日明细!$F:$F, F$2,
    运动日明细!$A:$A, $A44
)</f>
        <v>0</v>
      </c>
      <c r="G44">
        <f>SUMIFS(
    运动日明细!$H:$H,
    运动日明细!$C:$C, $B44,
    运动日明细!$F:$F, G$2,
    运动日明细!$A:$A, $A44
)</f>
        <v>0</v>
      </c>
      <c r="H44" s="7">
        <f t="shared" si="5"/>
        <v>0</v>
      </c>
      <c r="I44" s="7">
        <f>SUMIFS(
    运动日明细!$G:$G,
    运动日明细!$C:$C, $B44,
    运动日明细!$A:$A, $A44
)</f>
        <v>0</v>
      </c>
    </row>
    <row r="45" spans="1:9" ht="17.25">
      <c r="A45" s="6">
        <v>2026</v>
      </c>
      <c r="B45" s="6">
        <v>38</v>
      </c>
      <c r="C45" s="10">
        <f t="shared" si="3"/>
        <v>46279</v>
      </c>
      <c r="D45" s="10">
        <f t="shared" si="4"/>
        <v>46285</v>
      </c>
      <c r="E45">
        <f>SUMIFS(
    运动日明细!$H:$H,
    运动日明细!$C:$C, $B45,
    运动日明细!$F:$F, E$2,
    运动日明细!$A:$A, $A45
)</f>
        <v>0</v>
      </c>
      <c r="F45">
        <f>SUMIFS(
    运动日明细!$H:$H,
    运动日明细!$C:$C, $B45,
    运动日明细!$F:$F, F$2,
    运动日明细!$A:$A, $A45
)</f>
        <v>0</v>
      </c>
      <c r="G45">
        <f>SUMIFS(
    运动日明细!$H:$H,
    运动日明细!$C:$C, $B45,
    运动日明细!$F:$F, G$2,
    运动日明细!$A:$A, $A45
)</f>
        <v>0</v>
      </c>
      <c r="H45" s="7">
        <f t="shared" si="5"/>
        <v>0</v>
      </c>
      <c r="I45" s="7">
        <f>SUMIFS(
    运动日明细!$G:$G,
    运动日明细!$C:$C, $B45,
    运动日明细!$A:$A, $A45
)</f>
        <v>0</v>
      </c>
    </row>
    <row r="46" spans="1:9" ht="17.25">
      <c r="A46" s="6">
        <v>2026</v>
      </c>
      <c r="B46" s="6">
        <v>39</v>
      </c>
      <c r="C46" s="10">
        <f t="shared" si="3"/>
        <v>46286</v>
      </c>
      <c r="D46" s="10">
        <f t="shared" si="4"/>
        <v>46292</v>
      </c>
      <c r="E46">
        <f>SUMIFS(
    运动日明细!$H:$H,
    运动日明细!$C:$C, $B46,
    运动日明细!$F:$F, E$2,
    运动日明细!$A:$A, $A46
)</f>
        <v>0</v>
      </c>
      <c r="F46">
        <f>SUMIFS(
    运动日明细!$H:$H,
    运动日明细!$C:$C, $B46,
    运动日明细!$F:$F, F$2,
    运动日明细!$A:$A, $A46
)</f>
        <v>0</v>
      </c>
      <c r="G46">
        <f>SUMIFS(
    运动日明细!$H:$H,
    运动日明细!$C:$C, $B46,
    运动日明细!$F:$F, G$2,
    运动日明细!$A:$A, $A46
)</f>
        <v>0</v>
      </c>
      <c r="H46" s="7">
        <f t="shared" si="5"/>
        <v>0</v>
      </c>
      <c r="I46" s="7">
        <f>SUMIFS(
    运动日明细!$G:$G,
    运动日明细!$C:$C, $B46,
    运动日明细!$A:$A, $A46
)</f>
        <v>0</v>
      </c>
    </row>
    <row r="47" spans="1:9" ht="17.25">
      <c r="A47" s="6">
        <v>2026</v>
      </c>
      <c r="B47" s="6">
        <v>40</v>
      </c>
      <c r="C47" s="10">
        <f t="shared" si="3"/>
        <v>46293</v>
      </c>
      <c r="D47" s="10">
        <f t="shared" si="4"/>
        <v>46299</v>
      </c>
      <c r="E47">
        <f>SUMIFS(
    运动日明细!$H:$H,
    运动日明细!$C:$C, $B47,
    运动日明细!$F:$F, E$2,
    运动日明细!$A:$A, $A47
)</f>
        <v>0</v>
      </c>
      <c r="F47">
        <f>SUMIFS(
    运动日明细!$H:$H,
    运动日明细!$C:$C, $B47,
    运动日明细!$F:$F, F$2,
    运动日明细!$A:$A, $A47
)</f>
        <v>0</v>
      </c>
      <c r="G47">
        <f>SUMIFS(
    运动日明细!$H:$H,
    运动日明细!$C:$C, $B47,
    运动日明细!$F:$F, G$2,
    运动日明细!$A:$A, $A47
)</f>
        <v>0</v>
      </c>
      <c r="H47" s="7">
        <f t="shared" si="5"/>
        <v>0</v>
      </c>
      <c r="I47" s="7">
        <f>SUMIFS(
    运动日明细!$G:$G,
    运动日明细!$C:$C, $B47,
    运动日明细!$A:$A, $A47
)</f>
        <v>0</v>
      </c>
    </row>
    <row r="48" spans="1:9" ht="17.25">
      <c r="A48" s="6">
        <v>2026</v>
      </c>
      <c r="B48" s="6">
        <v>41</v>
      </c>
      <c r="C48" s="10">
        <f t="shared" si="3"/>
        <v>46300</v>
      </c>
      <c r="D48" s="10">
        <f t="shared" si="4"/>
        <v>46306</v>
      </c>
      <c r="E48">
        <f>SUMIFS(
    运动日明细!$H:$H,
    运动日明细!$C:$C, $B48,
    运动日明细!$F:$F, E$2,
    运动日明细!$A:$A, $A48
)</f>
        <v>0</v>
      </c>
      <c r="F48">
        <f>SUMIFS(
    运动日明细!$H:$H,
    运动日明细!$C:$C, $B48,
    运动日明细!$F:$F, F$2,
    运动日明细!$A:$A, $A48
)</f>
        <v>0</v>
      </c>
      <c r="G48">
        <f>SUMIFS(
    运动日明细!$H:$H,
    运动日明细!$C:$C, $B48,
    运动日明细!$F:$F, G$2,
    运动日明细!$A:$A, $A48
)</f>
        <v>0</v>
      </c>
      <c r="H48" s="7">
        <f t="shared" si="5"/>
        <v>0</v>
      </c>
      <c r="I48" s="7">
        <f>SUMIFS(
    运动日明细!$G:$G,
    运动日明细!$C:$C, $B48,
    运动日明细!$A:$A, $A48
)</f>
        <v>0</v>
      </c>
    </row>
    <row r="49" spans="1:9" ht="17.25">
      <c r="A49" s="6">
        <v>2026</v>
      </c>
      <c r="B49" s="6">
        <v>42</v>
      </c>
      <c r="C49" s="10">
        <f t="shared" si="3"/>
        <v>46307</v>
      </c>
      <c r="D49" s="10">
        <f t="shared" si="4"/>
        <v>46313</v>
      </c>
      <c r="E49">
        <f>SUMIFS(
    运动日明细!$H:$H,
    运动日明细!$C:$C, $B49,
    运动日明细!$F:$F, E$2,
    运动日明细!$A:$A, $A49
)</f>
        <v>0</v>
      </c>
      <c r="F49">
        <f>SUMIFS(
    运动日明细!$H:$H,
    运动日明细!$C:$C, $B49,
    运动日明细!$F:$F, F$2,
    运动日明细!$A:$A, $A49
)</f>
        <v>0</v>
      </c>
      <c r="G49">
        <f>SUMIFS(
    运动日明细!$H:$H,
    运动日明细!$C:$C, $B49,
    运动日明细!$F:$F, G$2,
    运动日明细!$A:$A, $A49
)</f>
        <v>0</v>
      </c>
      <c r="H49" s="7">
        <f t="shared" si="5"/>
        <v>0</v>
      </c>
      <c r="I49" s="7">
        <f>SUMIFS(
    运动日明细!$G:$G,
    运动日明细!$C:$C, $B49,
    运动日明细!$A:$A, $A49
)</f>
        <v>0</v>
      </c>
    </row>
    <row r="50" spans="1:9" ht="17.25">
      <c r="A50" s="6">
        <v>2026</v>
      </c>
      <c r="B50" s="6">
        <v>43</v>
      </c>
      <c r="C50" s="10">
        <f t="shared" si="3"/>
        <v>46314</v>
      </c>
      <c r="D50" s="10">
        <f t="shared" si="4"/>
        <v>46320</v>
      </c>
      <c r="E50">
        <f>SUMIFS(
    运动日明细!$H:$H,
    运动日明细!$C:$C, $B50,
    运动日明细!$F:$F, E$2,
    运动日明细!$A:$A, $A50
)</f>
        <v>0</v>
      </c>
      <c r="F50">
        <f>SUMIFS(
    运动日明细!$H:$H,
    运动日明细!$C:$C, $B50,
    运动日明细!$F:$F, F$2,
    运动日明细!$A:$A, $A50
)</f>
        <v>0</v>
      </c>
      <c r="G50">
        <f>SUMIFS(
    运动日明细!$H:$H,
    运动日明细!$C:$C, $B50,
    运动日明细!$F:$F, G$2,
    运动日明细!$A:$A, $A50
)</f>
        <v>0</v>
      </c>
      <c r="H50" s="7">
        <f t="shared" si="5"/>
        <v>0</v>
      </c>
      <c r="I50" s="7">
        <f>SUMIFS(
    运动日明细!$G:$G,
    运动日明细!$C:$C, $B50,
    运动日明细!$A:$A, $A50
)</f>
        <v>0</v>
      </c>
    </row>
    <row r="51" spans="1:9" ht="17.25">
      <c r="A51" s="6">
        <v>2026</v>
      </c>
      <c r="B51" s="6">
        <v>44</v>
      </c>
      <c r="C51" s="10">
        <f t="shared" si="3"/>
        <v>46321</v>
      </c>
      <c r="D51" s="10">
        <f t="shared" si="4"/>
        <v>46327</v>
      </c>
      <c r="E51">
        <f>SUMIFS(
    运动日明细!$H:$H,
    运动日明细!$C:$C, $B51,
    运动日明细!$F:$F, E$2,
    运动日明细!$A:$A, $A51
)</f>
        <v>0</v>
      </c>
      <c r="F51">
        <f>SUMIFS(
    运动日明细!$H:$H,
    运动日明细!$C:$C, $B51,
    运动日明细!$F:$F, F$2,
    运动日明细!$A:$A, $A51
)</f>
        <v>0</v>
      </c>
      <c r="G51">
        <f>SUMIFS(
    运动日明细!$H:$H,
    运动日明细!$C:$C, $B51,
    运动日明细!$F:$F, G$2,
    运动日明细!$A:$A, $A51
)</f>
        <v>0</v>
      </c>
      <c r="H51" s="7">
        <f t="shared" si="5"/>
        <v>0</v>
      </c>
      <c r="I51" s="7">
        <f>SUMIFS(
    运动日明细!$G:$G,
    运动日明细!$C:$C, $B51,
    运动日明细!$A:$A, $A51
)</f>
        <v>0</v>
      </c>
    </row>
    <row r="52" spans="1:9" ht="17.25">
      <c r="A52" s="6">
        <v>2026</v>
      </c>
      <c r="B52" s="6">
        <v>45</v>
      </c>
      <c r="C52" s="10">
        <f t="shared" si="3"/>
        <v>46328</v>
      </c>
      <c r="D52" s="10">
        <f t="shared" si="4"/>
        <v>46334</v>
      </c>
      <c r="E52">
        <f>SUMIFS(
    运动日明细!$H:$H,
    运动日明细!$C:$C, $B52,
    运动日明细!$F:$F, E$2,
    运动日明细!$A:$A, $A52
)</f>
        <v>0</v>
      </c>
      <c r="F52">
        <f>SUMIFS(
    运动日明细!$H:$H,
    运动日明细!$C:$C, $B52,
    运动日明细!$F:$F, F$2,
    运动日明细!$A:$A, $A52
)</f>
        <v>0</v>
      </c>
      <c r="G52">
        <f>SUMIFS(
    运动日明细!$H:$H,
    运动日明细!$C:$C, $B52,
    运动日明细!$F:$F, G$2,
    运动日明细!$A:$A, $A52
)</f>
        <v>0</v>
      </c>
      <c r="H52" s="7">
        <f t="shared" si="5"/>
        <v>0</v>
      </c>
      <c r="I52" s="7">
        <f>SUMIFS(
    运动日明细!$G:$G,
    运动日明细!$C:$C, $B52,
    运动日明细!$A:$A, $A52
)</f>
        <v>0</v>
      </c>
    </row>
    <row r="53" spans="1:9" ht="17.25">
      <c r="A53" s="6">
        <v>2026</v>
      </c>
      <c r="B53" s="6">
        <v>46</v>
      </c>
      <c r="C53" s="10">
        <f t="shared" si="3"/>
        <v>46335</v>
      </c>
      <c r="D53" s="10">
        <f t="shared" si="4"/>
        <v>46341</v>
      </c>
      <c r="E53">
        <f>SUMIFS(
    运动日明细!$H:$H,
    运动日明细!$C:$C, $B53,
    运动日明细!$F:$F, E$2,
    运动日明细!$A:$A, $A53
)</f>
        <v>0</v>
      </c>
      <c r="F53">
        <f>SUMIFS(
    运动日明细!$H:$H,
    运动日明细!$C:$C, $B53,
    运动日明细!$F:$F, F$2,
    运动日明细!$A:$A, $A53
)</f>
        <v>0</v>
      </c>
      <c r="G53">
        <f>SUMIFS(
    运动日明细!$H:$H,
    运动日明细!$C:$C, $B53,
    运动日明细!$F:$F, G$2,
    运动日明细!$A:$A, $A53
)</f>
        <v>0</v>
      </c>
      <c r="H53" s="7">
        <f t="shared" si="5"/>
        <v>0</v>
      </c>
      <c r="I53" s="7">
        <f>SUMIFS(
    运动日明细!$G:$G,
    运动日明细!$C:$C, $B53,
    运动日明细!$A:$A, $A53
)</f>
        <v>0</v>
      </c>
    </row>
    <row r="54" spans="1:9" ht="17.25">
      <c r="A54" s="6">
        <v>2026</v>
      </c>
      <c r="B54" s="6">
        <v>47</v>
      </c>
      <c r="C54" s="10">
        <f t="shared" si="3"/>
        <v>46342</v>
      </c>
      <c r="D54" s="10">
        <f t="shared" si="4"/>
        <v>46348</v>
      </c>
      <c r="E54">
        <f>SUMIFS(
    运动日明细!$H:$H,
    运动日明细!$C:$C, $B54,
    运动日明细!$F:$F, E$2,
    运动日明细!$A:$A, $A54
)</f>
        <v>0</v>
      </c>
      <c r="F54">
        <f>SUMIFS(
    运动日明细!$H:$H,
    运动日明细!$C:$C, $B54,
    运动日明细!$F:$F, F$2,
    运动日明细!$A:$A, $A54
)</f>
        <v>0</v>
      </c>
      <c r="G54">
        <f>SUMIFS(
    运动日明细!$H:$H,
    运动日明细!$C:$C, $B54,
    运动日明细!$F:$F, G$2,
    运动日明细!$A:$A, $A54
)</f>
        <v>0</v>
      </c>
      <c r="H54" s="7">
        <f t="shared" si="5"/>
        <v>0</v>
      </c>
      <c r="I54" s="7">
        <f>SUMIFS(
    运动日明细!$G:$G,
    运动日明细!$C:$C, $B54,
    运动日明细!$A:$A, $A54
)</f>
        <v>0</v>
      </c>
    </row>
    <row r="55" spans="1:9" ht="17.25">
      <c r="A55" s="6">
        <v>2026</v>
      </c>
      <c r="B55" s="6">
        <v>48</v>
      </c>
      <c r="C55" s="10">
        <f t="shared" si="3"/>
        <v>46349</v>
      </c>
      <c r="D55" s="10">
        <f t="shared" si="4"/>
        <v>46355</v>
      </c>
      <c r="E55">
        <f>SUMIFS(
    运动日明细!$H:$H,
    运动日明细!$C:$C, $B55,
    运动日明细!$F:$F, E$2,
    运动日明细!$A:$A, $A55
)</f>
        <v>0</v>
      </c>
      <c r="F55">
        <f>SUMIFS(
    运动日明细!$H:$H,
    运动日明细!$C:$C, $B55,
    运动日明细!$F:$F, F$2,
    运动日明细!$A:$A, $A55
)</f>
        <v>0</v>
      </c>
      <c r="G55">
        <f>SUMIFS(
    运动日明细!$H:$H,
    运动日明细!$C:$C, $B55,
    运动日明细!$F:$F, G$2,
    运动日明细!$A:$A, $A55
)</f>
        <v>0</v>
      </c>
      <c r="H55" s="7">
        <f t="shared" si="5"/>
        <v>0</v>
      </c>
      <c r="I55" s="7">
        <f>SUMIFS(
    运动日明细!$G:$G,
    运动日明细!$C:$C, $B55,
    运动日明细!$A:$A, $A55
)</f>
        <v>0</v>
      </c>
    </row>
    <row r="56" spans="1:9" ht="17.25">
      <c r="A56" s="6">
        <v>2026</v>
      </c>
      <c r="B56" s="6">
        <v>49</v>
      </c>
      <c r="C56" s="10">
        <f t="shared" si="3"/>
        <v>46356</v>
      </c>
      <c r="D56" s="10">
        <f t="shared" si="4"/>
        <v>46362</v>
      </c>
      <c r="E56">
        <f>SUMIFS(
    运动日明细!$H:$H,
    运动日明细!$C:$C, $B56,
    运动日明细!$F:$F, E$2,
    运动日明细!$A:$A, $A56
)</f>
        <v>0</v>
      </c>
      <c r="F56">
        <f>SUMIFS(
    运动日明细!$H:$H,
    运动日明细!$C:$C, $B56,
    运动日明细!$F:$F, F$2,
    运动日明细!$A:$A, $A56
)</f>
        <v>0</v>
      </c>
      <c r="G56">
        <f>SUMIFS(
    运动日明细!$H:$H,
    运动日明细!$C:$C, $B56,
    运动日明细!$F:$F, G$2,
    运动日明细!$A:$A, $A56
)</f>
        <v>0</v>
      </c>
      <c r="H56" s="7">
        <f t="shared" si="5"/>
        <v>0</v>
      </c>
      <c r="I56" s="7">
        <f>SUMIFS(
    运动日明细!$G:$G,
    运动日明细!$C:$C, $B56,
    运动日明细!$A:$A, $A56
)</f>
        <v>0</v>
      </c>
    </row>
    <row r="57" spans="1:9" ht="17.25">
      <c r="A57" s="6">
        <v>2026</v>
      </c>
      <c r="B57" s="6">
        <v>50</v>
      </c>
      <c r="C57" s="10">
        <f t="shared" si="3"/>
        <v>46363</v>
      </c>
      <c r="D57" s="10">
        <f t="shared" si="4"/>
        <v>46369</v>
      </c>
      <c r="E57">
        <f>SUMIFS(
    运动日明细!$H:$H,
    运动日明细!$C:$C, $B57,
    运动日明细!$F:$F, E$2,
    运动日明细!$A:$A, $A57
)</f>
        <v>0</v>
      </c>
      <c r="F57">
        <f>SUMIFS(
    运动日明细!$H:$H,
    运动日明细!$C:$C, $B57,
    运动日明细!$F:$F, F$2,
    运动日明细!$A:$A, $A57
)</f>
        <v>0</v>
      </c>
      <c r="G57">
        <f>SUMIFS(
    运动日明细!$H:$H,
    运动日明细!$C:$C, $B57,
    运动日明细!$F:$F, G$2,
    运动日明细!$A:$A, $A57
)</f>
        <v>0</v>
      </c>
      <c r="H57" s="7">
        <f t="shared" si="5"/>
        <v>0</v>
      </c>
      <c r="I57" s="7">
        <f>SUMIFS(
    运动日明细!$G:$G,
    运动日明细!$C:$C, $B57,
    运动日明细!$A:$A, $A57
)</f>
        <v>0</v>
      </c>
    </row>
    <row r="58" spans="1:9" ht="17.25">
      <c r="A58" s="6">
        <v>2026</v>
      </c>
      <c r="B58" s="6">
        <v>51</v>
      </c>
      <c r="C58" s="10">
        <f t="shared" si="3"/>
        <v>46370</v>
      </c>
      <c r="D58" s="10">
        <f t="shared" si="4"/>
        <v>46376</v>
      </c>
      <c r="E58">
        <f>SUMIFS(
    运动日明细!$H:$H,
    运动日明细!$C:$C, $B58,
    运动日明细!$F:$F, E$2,
    运动日明细!$A:$A, $A58
)</f>
        <v>0</v>
      </c>
      <c r="F58">
        <f>SUMIFS(
    运动日明细!$H:$H,
    运动日明细!$C:$C, $B58,
    运动日明细!$F:$F, F$2,
    运动日明细!$A:$A, $A58
)</f>
        <v>0</v>
      </c>
      <c r="G58">
        <f>SUMIFS(
    运动日明细!$H:$H,
    运动日明细!$C:$C, $B58,
    运动日明细!$F:$F, G$2,
    运动日明细!$A:$A, $A58
)</f>
        <v>0</v>
      </c>
      <c r="H58" s="7">
        <f t="shared" si="5"/>
        <v>0</v>
      </c>
      <c r="I58" s="7">
        <f>SUMIFS(
    运动日明细!$G:$G,
    运动日明细!$C:$C, $B58,
    运动日明细!$A:$A, $A58
)</f>
        <v>0</v>
      </c>
    </row>
    <row r="59" spans="1:9" ht="17.25">
      <c r="A59" s="6">
        <v>2026</v>
      </c>
      <c r="B59" s="6">
        <v>52</v>
      </c>
      <c r="C59" s="10">
        <f t="shared" si="3"/>
        <v>46377</v>
      </c>
      <c r="D59" s="10">
        <f t="shared" si="4"/>
        <v>46383</v>
      </c>
      <c r="E59">
        <f>SUMIFS(
    运动日明细!$H:$H,
    运动日明细!$C:$C, $B59,
    运动日明细!$F:$F, E$2,
    运动日明细!$A:$A, $A59
)</f>
        <v>0</v>
      </c>
      <c r="F59">
        <f>SUMIFS(
    运动日明细!$H:$H,
    运动日明细!$C:$C, $B59,
    运动日明细!$F:$F, F$2,
    运动日明细!$A:$A, $A59
)</f>
        <v>0</v>
      </c>
      <c r="G59">
        <f>SUMIFS(
    运动日明细!$H:$H,
    运动日明细!$C:$C, $B59,
    运动日明细!$F:$F, G$2,
    运动日明细!$A:$A, $A59
)</f>
        <v>0</v>
      </c>
      <c r="H59" s="7">
        <f t="shared" si="5"/>
        <v>0</v>
      </c>
      <c r="I59" s="7">
        <f>SUMIFS(
    运动日明细!$G:$G,
    运动日明细!$C:$C, $B59,
    运动日明细!$A:$A, $A59
)</f>
        <v>0</v>
      </c>
    </row>
    <row r="60" spans="1:9" ht="17.25">
      <c r="A60" s="6">
        <v>2026</v>
      </c>
      <c r="B60" s="6">
        <v>53</v>
      </c>
      <c r="C60" s="10">
        <f t="shared" si="3"/>
        <v>46384</v>
      </c>
      <c r="D60" s="10">
        <f t="shared" si="4"/>
        <v>46390</v>
      </c>
      <c r="E60">
        <f>SUMIFS(
    运动日明细!$H:$H,
    运动日明细!$C:$C, $B60,
    运动日明细!$F:$F, E$2,
    运动日明细!$A:$A, $A60
)</f>
        <v>0</v>
      </c>
      <c r="F60">
        <f>SUMIFS(
    运动日明细!$H:$H,
    运动日明细!$C:$C, $B60,
    运动日明细!$F:$F, F$2,
    运动日明细!$A:$A, $A60
)</f>
        <v>0</v>
      </c>
      <c r="G60">
        <f>SUMIFS(
    运动日明细!$H:$H,
    运动日明细!$C:$C, $B60,
    运动日明细!$F:$F, G$2,
    运动日明细!$A:$A, $A60
)</f>
        <v>0</v>
      </c>
      <c r="H60" s="7">
        <f t="shared" si="5"/>
        <v>0</v>
      </c>
      <c r="I60" s="7">
        <f>SUMIFS(
    运动日明细!$G:$G,
    运动日明细!$C:$C, $B60,
    运动日明细!$A:$A, $A60
)</f>
        <v>0</v>
      </c>
    </row>
  </sheetData>
  <autoFilter ref="A1:I60" xr:uid="{80BBD150-6535-4683-B0C6-5B8CEB14050C}">
    <filterColumn colId="0">
      <filters blank="1">
        <filter val="2026"/>
      </filters>
    </filterColumn>
    <filterColumn colId="2" showButton="0"/>
    <filterColumn colId="4" showButton="0"/>
    <filterColumn colId="5" showButton="0"/>
    <filterColumn colId="6" showButton="0"/>
  </autoFilter>
  <mergeCells count="5">
    <mergeCell ref="A1:A2"/>
    <mergeCell ref="B1:B2"/>
    <mergeCell ref="C1:D2"/>
    <mergeCell ref="E1:H1"/>
    <mergeCell ref="I1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0514-F53E-425E-93DB-6428694CFB7C}">
  <dimension ref="A1:E9"/>
  <sheetViews>
    <sheetView zoomScale="120" zoomScaleNormal="120" workbookViewId="0">
      <selection activeCell="D7" sqref="D7:D9"/>
    </sheetView>
  </sheetViews>
  <sheetFormatPr defaultRowHeight="16.5"/>
  <cols>
    <col min="1" max="5" width="15.77734375" style="1" customWidth="1"/>
  </cols>
  <sheetData>
    <row r="1" spans="1:5" ht="18.75" thickBot="1">
      <c r="A1" s="19" t="s">
        <v>2</v>
      </c>
      <c r="B1" s="19" t="s">
        <v>1</v>
      </c>
      <c r="C1" s="19" t="s">
        <v>11</v>
      </c>
      <c r="D1" s="19" t="s">
        <v>9</v>
      </c>
      <c r="E1" s="19" t="s">
        <v>10</v>
      </c>
    </row>
    <row r="2" spans="1:5" ht="17.25" thickTop="1">
      <c r="A2" s="2">
        <v>45979</v>
      </c>
      <c r="B2" s="1" t="s">
        <v>12</v>
      </c>
      <c r="C2" s="1" t="s">
        <v>13</v>
      </c>
      <c r="D2" s="1">
        <v>70</v>
      </c>
      <c r="E2" s="1" t="s">
        <v>36</v>
      </c>
    </row>
    <row r="3" spans="1:5">
      <c r="A3" s="2">
        <v>45986</v>
      </c>
      <c r="B3" s="1" t="s">
        <v>12</v>
      </c>
      <c r="C3" s="1" t="s">
        <v>13</v>
      </c>
      <c r="D3" s="1">
        <v>70</v>
      </c>
      <c r="E3" s="1" t="s">
        <v>37</v>
      </c>
    </row>
    <row r="4" spans="1:5">
      <c r="A4" s="2">
        <v>45986</v>
      </c>
      <c r="B4" s="1" t="s">
        <v>12</v>
      </c>
      <c r="C4" s="1" t="s">
        <v>14</v>
      </c>
      <c r="D4" s="1">
        <v>75</v>
      </c>
      <c r="E4" s="1" t="s">
        <v>38</v>
      </c>
    </row>
    <row r="5" spans="1:5">
      <c r="A5" s="2">
        <v>46016</v>
      </c>
      <c r="B5" s="1" t="s">
        <v>12</v>
      </c>
      <c r="C5" s="1" t="s">
        <v>13</v>
      </c>
      <c r="D5" s="1">
        <v>30</v>
      </c>
      <c r="E5" s="1" t="s">
        <v>37</v>
      </c>
    </row>
    <row r="6" spans="1:5">
      <c r="A6" s="2">
        <v>46016</v>
      </c>
      <c r="B6" s="1" t="s">
        <v>12</v>
      </c>
      <c r="C6" s="1" t="s">
        <v>32</v>
      </c>
      <c r="D6" s="1">
        <v>40</v>
      </c>
      <c r="E6" s="1" t="s">
        <v>36</v>
      </c>
    </row>
    <row r="7" spans="1:5">
      <c r="A7" s="2">
        <v>46040</v>
      </c>
      <c r="B7" s="1" t="s">
        <v>12</v>
      </c>
      <c r="C7" s="1" t="s">
        <v>55</v>
      </c>
      <c r="D7" s="1">
        <v>70</v>
      </c>
      <c r="E7" s="1" t="s">
        <v>37</v>
      </c>
    </row>
    <row r="8" spans="1:5">
      <c r="A8" s="2">
        <v>46040</v>
      </c>
      <c r="B8" s="1" t="s">
        <v>12</v>
      </c>
      <c r="C8" s="1" t="s">
        <v>55</v>
      </c>
      <c r="D8" s="1">
        <v>70</v>
      </c>
      <c r="E8" s="1" t="s">
        <v>38</v>
      </c>
    </row>
    <row r="9" spans="1:5">
      <c r="A9" s="2">
        <v>46033</v>
      </c>
      <c r="B9" s="1" t="s">
        <v>50</v>
      </c>
      <c r="C9" s="1" t="s">
        <v>51</v>
      </c>
      <c r="D9" s="1">
        <v>100</v>
      </c>
      <c r="E9" s="1" t="s">
        <v>52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048E-9AE7-49D5-A894-4ACAF3AF5241}">
  <dimension ref="A1:K36"/>
  <sheetViews>
    <sheetView zoomScale="120" zoomScaleNormal="120" workbookViewId="0">
      <selection activeCell="G22" sqref="G22"/>
    </sheetView>
  </sheetViews>
  <sheetFormatPr defaultRowHeight="16.5"/>
  <cols>
    <col min="1" max="1" width="15.5546875" style="1" customWidth="1"/>
    <col min="2" max="2" width="15.77734375" style="2" customWidth="1"/>
    <col min="3" max="3" width="15.77734375" style="6" customWidth="1"/>
    <col min="4" max="7" width="15.77734375" style="1" customWidth="1"/>
    <col min="8" max="8" width="15.77734375" style="6" customWidth="1"/>
    <col min="9" max="9" width="15.77734375" style="1" customWidth="1"/>
    <col min="10" max="10" width="21.6640625" customWidth="1"/>
  </cols>
  <sheetData>
    <row r="1" spans="1:11" ht="18.75" thickBot="1">
      <c r="A1" s="19" t="s">
        <v>45</v>
      </c>
      <c r="B1" s="20" t="s">
        <v>2</v>
      </c>
      <c r="C1" s="21" t="s">
        <v>8</v>
      </c>
      <c r="D1" s="37" t="s">
        <v>0</v>
      </c>
      <c r="E1" s="37"/>
      <c r="F1" s="19" t="s">
        <v>1</v>
      </c>
      <c r="G1" s="19" t="s">
        <v>9</v>
      </c>
      <c r="H1" s="21" t="s">
        <v>5</v>
      </c>
      <c r="I1" s="19" t="s">
        <v>4</v>
      </c>
      <c r="J1" s="19" t="s">
        <v>30</v>
      </c>
    </row>
    <row r="2" spans="1:11" ht="18" thickTop="1">
      <c r="A2" s="1">
        <f t="shared" ref="A2:A16" si="0">YEAR(B2)</f>
        <v>2025</v>
      </c>
      <c r="B2" s="10">
        <v>45992</v>
      </c>
      <c r="C2" s="11">
        <f t="shared" ref="C2:C30" si="1">WEEKNUM(B2,2)</f>
        <v>49</v>
      </c>
      <c r="D2" s="12">
        <v>0.54166666666666663</v>
      </c>
      <c r="E2" s="12">
        <v>0.58333333333333337</v>
      </c>
      <c r="F2" s="13" t="s">
        <v>3</v>
      </c>
      <c r="G2" s="13">
        <v>38</v>
      </c>
      <c r="H2" s="6">
        <f>ABS(E2-D2)*24</f>
        <v>1.0000000000000018</v>
      </c>
      <c r="I2" s="5" t="str">
        <f>IF(AND(HOUR(D2)&gt;=7,HOUR(D2)&lt;11),"早上",
IF(AND(HOUR(D2)&gt;=11,HOUR(D2)&lt;14),"中午",
IF(AND(HOUR(D2)&gt;=14,HOUR(D2)&lt;18),"下午",
IF(AND(HOUR(D2)&gt;=18,HOUR(D2)&lt;24),"晚上","Null"))))</f>
        <v>中午</v>
      </c>
    </row>
    <row r="3" spans="1:11" ht="17.25">
      <c r="A3" s="1">
        <f t="shared" si="0"/>
        <v>2025</v>
      </c>
      <c r="B3" s="10">
        <v>45992</v>
      </c>
      <c r="C3" s="11">
        <f t="shared" si="1"/>
        <v>49</v>
      </c>
      <c r="D3" s="12">
        <v>0.875</v>
      </c>
      <c r="E3" s="12">
        <v>0.91666666666666663</v>
      </c>
      <c r="F3" s="13" t="s">
        <v>3</v>
      </c>
      <c r="G3" s="13">
        <v>48</v>
      </c>
      <c r="H3" s="6">
        <f t="shared" ref="H3:H5" si="2">ABS(E3-D3)*24</f>
        <v>0.99999999999999911</v>
      </c>
      <c r="I3" s="5" t="str">
        <f t="shared" ref="I3:I5" si="3">IF(AND(HOUR(D3)&gt;=7,HOUR(D3)&lt;11),"早上",
IF(AND(HOUR(D3)&gt;=11,HOUR(D3)&lt;14),"中午",
IF(AND(HOUR(D3)&gt;=14,HOUR(D3)&lt;18),"下午",
IF(AND(HOUR(D3)&gt;=18,HOUR(D3)&lt;24),"晚上","Null"))))</f>
        <v>晚上</v>
      </c>
    </row>
    <row r="4" spans="1:11" ht="17.25">
      <c r="A4" s="1">
        <f t="shared" si="0"/>
        <v>2025</v>
      </c>
      <c r="B4" s="10">
        <v>45995</v>
      </c>
      <c r="C4" s="11">
        <f t="shared" si="1"/>
        <v>49</v>
      </c>
      <c r="D4" s="12">
        <v>0.29166666666666669</v>
      </c>
      <c r="E4" s="12">
        <v>0.375</v>
      </c>
      <c r="F4" s="13" t="s">
        <v>6</v>
      </c>
      <c r="G4" s="13">
        <v>15</v>
      </c>
      <c r="H4" s="6">
        <f t="shared" si="2"/>
        <v>1.9999999999999996</v>
      </c>
      <c r="I4" s="5" t="str">
        <f t="shared" si="3"/>
        <v>早上</v>
      </c>
    </row>
    <row r="5" spans="1:11" ht="17.25">
      <c r="A5" s="1">
        <f t="shared" si="0"/>
        <v>2025</v>
      </c>
      <c r="B5" s="10">
        <v>45996</v>
      </c>
      <c r="C5" s="11">
        <f t="shared" si="1"/>
        <v>49</v>
      </c>
      <c r="D5" s="12">
        <v>0.875</v>
      </c>
      <c r="E5" s="12">
        <v>0.91666666666666663</v>
      </c>
      <c r="F5" s="13" t="s">
        <v>3</v>
      </c>
      <c r="G5" s="13">
        <v>43.25</v>
      </c>
      <c r="H5" s="6">
        <f t="shared" si="2"/>
        <v>0.99999999999999911</v>
      </c>
      <c r="I5" s="5" t="str">
        <f t="shared" si="3"/>
        <v>晚上</v>
      </c>
    </row>
    <row r="6" spans="1:11">
      <c r="A6" s="1">
        <f t="shared" si="0"/>
        <v>2025</v>
      </c>
      <c r="B6" s="2">
        <v>45999</v>
      </c>
      <c r="C6" s="6">
        <f t="shared" si="1"/>
        <v>50</v>
      </c>
      <c r="D6" s="3">
        <v>0.875</v>
      </c>
      <c r="E6" s="4">
        <v>0.91666666666666663</v>
      </c>
      <c r="F6" s="1" t="s">
        <v>3</v>
      </c>
      <c r="G6" s="1">
        <v>43</v>
      </c>
      <c r="H6" s="6">
        <f>ABS(E6-D6)*24</f>
        <v>0.99999999999999911</v>
      </c>
      <c r="I6" s="5" t="str">
        <f>IF(AND(HOUR(D6)&gt;=7,HOUR(D6)&lt;11),"早上",
IF(AND(HOUR(D6)&gt;=11,HOUR(D6)&lt;14),"中午",
IF(AND(HOUR(D6)&gt;=14,HOUR(D6)&lt;18),"下午",
IF(AND(HOUR(D6)&gt;=18,HOUR(D6)&lt;24),"晚上","Null"))))</f>
        <v>晚上</v>
      </c>
    </row>
    <row r="7" spans="1:11">
      <c r="A7" s="1">
        <f t="shared" si="0"/>
        <v>2025</v>
      </c>
      <c r="B7" s="2">
        <v>46001</v>
      </c>
      <c r="C7" s="6">
        <f t="shared" si="1"/>
        <v>50</v>
      </c>
      <c r="D7" s="3">
        <v>0.29166666666666669</v>
      </c>
      <c r="E7" s="3">
        <v>0.375</v>
      </c>
      <c r="F7" s="1" t="s">
        <v>6</v>
      </c>
      <c r="G7" s="1">
        <v>35.5</v>
      </c>
      <c r="H7" s="6">
        <f t="shared" ref="H7:H8" si="4">ABS(E7-D7)*24</f>
        <v>1.9999999999999996</v>
      </c>
      <c r="I7" s="5" t="str">
        <f t="shared" ref="I7:I13" si="5">IF(AND(HOUR(D7)&gt;=7,HOUR(D7)&lt;11),"早上",
IF(AND(HOUR(D7)&gt;=11,HOUR(D7)&lt;14),"中午",
IF(AND(HOUR(D7)&gt;=14,HOUR(D7)&lt;18),"下午",
IF(AND(HOUR(D7)&gt;=18,HOUR(D7)&lt;24),"晚上","Null"))))</f>
        <v>早上</v>
      </c>
    </row>
    <row r="8" spans="1:11">
      <c r="A8" s="1">
        <f t="shared" si="0"/>
        <v>2025</v>
      </c>
      <c r="B8" s="2">
        <v>46002</v>
      </c>
      <c r="C8" s="6">
        <f t="shared" si="1"/>
        <v>50</v>
      </c>
      <c r="D8" s="3">
        <v>0.5</v>
      </c>
      <c r="E8" s="3">
        <v>0.58333333333333337</v>
      </c>
      <c r="F8" s="1" t="s">
        <v>7</v>
      </c>
      <c r="G8" s="1">
        <v>24</v>
      </c>
      <c r="H8" s="6">
        <f t="shared" si="4"/>
        <v>2.0000000000000009</v>
      </c>
      <c r="I8" s="5" t="str">
        <f t="shared" si="5"/>
        <v>中午</v>
      </c>
    </row>
    <row r="9" spans="1:11">
      <c r="A9" s="1">
        <f t="shared" si="0"/>
        <v>2025</v>
      </c>
      <c r="B9" s="2">
        <v>46006</v>
      </c>
      <c r="C9" s="6">
        <f t="shared" si="1"/>
        <v>51</v>
      </c>
      <c r="D9" s="3">
        <v>0.5</v>
      </c>
      <c r="E9" s="3">
        <v>0.58333333333333337</v>
      </c>
      <c r="F9" s="1" t="s">
        <v>6</v>
      </c>
      <c r="G9" s="1">
        <v>22.5</v>
      </c>
      <c r="H9" s="6">
        <f t="shared" ref="H9:H13" si="6">ABS(E9-D9)*24</f>
        <v>2.0000000000000009</v>
      </c>
      <c r="I9" s="5" t="str">
        <f t="shared" si="5"/>
        <v>中午</v>
      </c>
    </row>
    <row r="10" spans="1:11">
      <c r="A10" s="1">
        <f t="shared" si="0"/>
        <v>2025</v>
      </c>
      <c r="B10" s="2">
        <v>46011</v>
      </c>
      <c r="C10" s="6">
        <f t="shared" si="1"/>
        <v>51</v>
      </c>
      <c r="D10" s="3">
        <v>0.5</v>
      </c>
      <c r="E10" s="3">
        <v>0.58333333333333337</v>
      </c>
      <c r="F10" s="1" t="s">
        <v>7</v>
      </c>
      <c r="G10" s="1">
        <v>25.67</v>
      </c>
      <c r="H10" s="6">
        <f t="shared" si="6"/>
        <v>2.0000000000000009</v>
      </c>
      <c r="I10" s="5" t="str">
        <f t="shared" si="5"/>
        <v>中午</v>
      </c>
      <c r="J10" t="s">
        <v>48</v>
      </c>
    </row>
    <row r="11" spans="1:11" ht="17.25">
      <c r="A11" s="1">
        <f t="shared" si="0"/>
        <v>2025</v>
      </c>
      <c r="B11" s="2">
        <v>46012</v>
      </c>
      <c r="C11" s="11">
        <f t="shared" si="1"/>
        <v>51</v>
      </c>
      <c r="D11" s="12">
        <v>0.875</v>
      </c>
      <c r="E11" s="12">
        <v>0.91666666666666663</v>
      </c>
      <c r="F11" s="13" t="s">
        <v>3</v>
      </c>
      <c r="G11" s="1">
        <v>40.75</v>
      </c>
      <c r="H11" s="6">
        <f t="shared" si="6"/>
        <v>0.99999999999999911</v>
      </c>
      <c r="I11" s="5" t="str">
        <f t="shared" si="5"/>
        <v>晚上</v>
      </c>
      <c r="J11" t="s">
        <v>31</v>
      </c>
    </row>
    <row r="12" spans="1:11" ht="17.25">
      <c r="A12" s="1">
        <f t="shared" si="0"/>
        <v>2025</v>
      </c>
      <c r="B12" s="2">
        <v>46015</v>
      </c>
      <c r="C12" s="11">
        <f t="shared" si="1"/>
        <v>52</v>
      </c>
      <c r="D12" s="3">
        <v>0.29166666666666669</v>
      </c>
      <c r="E12" s="3">
        <v>0.375</v>
      </c>
      <c r="F12" s="1" t="s">
        <v>6</v>
      </c>
      <c r="G12" s="1">
        <v>22.75</v>
      </c>
      <c r="H12" s="6">
        <f t="shared" si="6"/>
        <v>1.9999999999999996</v>
      </c>
      <c r="I12" s="5" t="str">
        <f t="shared" si="5"/>
        <v>早上</v>
      </c>
    </row>
    <row r="13" spans="1:11" ht="17.25">
      <c r="A13" s="1">
        <f t="shared" si="0"/>
        <v>2025</v>
      </c>
      <c r="B13" s="2">
        <v>46021</v>
      </c>
      <c r="C13" s="11">
        <f t="shared" si="1"/>
        <v>53</v>
      </c>
      <c r="D13" s="3">
        <v>0.83333333333333337</v>
      </c>
      <c r="E13" s="3">
        <v>0.91666666666666663</v>
      </c>
      <c r="F13" s="1" t="s">
        <v>33</v>
      </c>
      <c r="G13" s="1">
        <v>28.87</v>
      </c>
      <c r="H13" s="6">
        <f t="shared" si="6"/>
        <v>1.9999999999999982</v>
      </c>
      <c r="I13" s="5" t="str">
        <f t="shared" si="5"/>
        <v>晚上</v>
      </c>
      <c r="J13" t="s">
        <v>34</v>
      </c>
    </row>
    <row r="14" spans="1:11" ht="17.25">
      <c r="A14" s="1">
        <f t="shared" si="0"/>
        <v>2026</v>
      </c>
      <c r="B14" s="2">
        <v>46023</v>
      </c>
      <c r="C14" s="11">
        <f t="shared" si="1"/>
        <v>1</v>
      </c>
      <c r="D14" s="3">
        <v>0.625</v>
      </c>
      <c r="E14" s="3">
        <v>0.75</v>
      </c>
      <c r="F14" s="1" t="s">
        <v>33</v>
      </c>
      <c r="G14" s="1">
        <v>54.37</v>
      </c>
      <c r="H14" s="6">
        <f t="shared" ref="H14:H17" si="7">ABS(E14-D14)*24</f>
        <v>3</v>
      </c>
      <c r="I14" s="5" t="str">
        <f t="shared" ref="I14:I16" si="8">IF(AND(HOUR(D14)&gt;=7,HOUR(D14)&lt;11),"早上",
IF(AND(HOUR(D14)&gt;=11,HOUR(D14)&lt;14),"中午",
IF(AND(HOUR(D14)&gt;=14,HOUR(D14)&lt;18),"下午",
IF(AND(HOUR(D14)&gt;=18,HOUR(D14)&lt;24),"晚上","Null"))))</f>
        <v>下午</v>
      </c>
      <c r="J14" t="s">
        <v>39</v>
      </c>
    </row>
    <row r="15" spans="1:11">
      <c r="A15" s="1">
        <f t="shared" si="0"/>
        <v>2026</v>
      </c>
      <c r="B15" s="2">
        <v>46025</v>
      </c>
      <c r="C15" s="6">
        <f t="shared" si="1"/>
        <v>1</v>
      </c>
      <c r="D15" s="3">
        <v>0.83333333333333337</v>
      </c>
      <c r="E15" s="3">
        <v>0.91666666666666663</v>
      </c>
      <c r="F15" s="1" t="s">
        <v>33</v>
      </c>
      <c r="G15" s="1">
        <v>24.73</v>
      </c>
      <c r="H15" s="6">
        <f t="shared" si="7"/>
        <v>1.9999999999999982</v>
      </c>
      <c r="I15" s="5" t="str">
        <f t="shared" si="8"/>
        <v>晚上</v>
      </c>
      <c r="J15" t="s">
        <v>40</v>
      </c>
    </row>
    <row r="16" spans="1:11" ht="17.25">
      <c r="A16" s="1">
        <f t="shared" si="0"/>
        <v>2026</v>
      </c>
      <c r="B16" s="2">
        <v>46028</v>
      </c>
      <c r="C16" s="11">
        <f t="shared" si="1"/>
        <v>2</v>
      </c>
      <c r="D16" s="3">
        <v>0.83333333333333337</v>
      </c>
      <c r="E16" s="3">
        <v>0.91666666666666663</v>
      </c>
      <c r="F16" s="1" t="s">
        <v>41</v>
      </c>
      <c r="G16" s="1">
        <v>55.84</v>
      </c>
      <c r="H16" s="6">
        <f t="shared" si="7"/>
        <v>1.9999999999999982</v>
      </c>
      <c r="I16" s="5" t="str">
        <f t="shared" si="8"/>
        <v>晚上</v>
      </c>
      <c r="J16" t="s">
        <v>42</v>
      </c>
      <c r="K16" s="9"/>
    </row>
    <row r="17" spans="1:10">
      <c r="A17" s="1">
        <v>2026</v>
      </c>
      <c r="B17" s="2">
        <v>46031</v>
      </c>
      <c r="C17" s="6">
        <f t="shared" si="1"/>
        <v>2</v>
      </c>
      <c r="D17" s="3">
        <v>0.29166666666666669</v>
      </c>
      <c r="E17" s="3">
        <v>0.375</v>
      </c>
      <c r="F17" s="1" t="s">
        <v>6</v>
      </c>
      <c r="G17" s="1">
        <v>15</v>
      </c>
      <c r="H17" s="6">
        <f t="shared" si="7"/>
        <v>1.9999999999999996</v>
      </c>
      <c r="I17" s="5" t="str">
        <f t="shared" ref="I17:I30" si="9">IF(AND(HOUR(D17)&gt;=7,HOUR(D17)&lt;11),"早上",
IF(AND(HOUR(D17)&gt;=11,HOUR(D17)&lt;14),"中午",
IF(AND(HOUR(D17)&gt;=14,HOUR(D17)&lt;18),"下午",
IF(AND(HOUR(D17)&gt;=18,HOUR(D17)&lt;24),"晚上","Null"))))</f>
        <v>早上</v>
      </c>
      <c r="J17" t="s">
        <v>46</v>
      </c>
    </row>
    <row r="18" spans="1:10" ht="17.25">
      <c r="A18" s="1">
        <v>2026</v>
      </c>
      <c r="B18" s="2">
        <v>46034</v>
      </c>
      <c r="C18" s="11">
        <f t="shared" si="1"/>
        <v>3</v>
      </c>
      <c r="D18" s="3">
        <v>0.29166666666666669</v>
      </c>
      <c r="E18" s="3">
        <v>0.375</v>
      </c>
      <c r="F18" s="1" t="s">
        <v>6</v>
      </c>
      <c r="G18" s="1">
        <v>23.5</v>
      </c>
      <c r="H18" s="6">
        <f t="shared" ref="H18:H30" si="10">ABS(E18-D18)*24</f>
        <v>1.9999999999999996</v>
      </c>
      <c r="I18" s="5" t="str">
        <f t="shared" si="9"/>
        <v>早上</v>
      </c>
    </row>
    <row r="19" spans="1:10">
      <c r="A19" s="1">
        <v>2026</v>
      </c>
      <c r="B19" s="2">
        <v>46035</v>
      </c>
      <c r="C19" s="6">
        <f t="shared" si="1"/>
        <v>3</v>
      </c>
      <c r="D19" s="3">
        <v>0.29166666666666669</v>
      </c>
      <c r="E19" s="3">
        <v>0.375</v>
      </c>
      <c r="F19" s="1" t="s">
        <v>6</v>
      </c>
      <c r="G19" s="1">
        <v>22.75</v>
      </c>
      <c r="H19" s="6">
        <f t="shared" si="10"/>
        <v>1.9999999999999996</v>
      </c>
      <c r="I19" s="5" t="str">
        <f t="shared" si="9"/>
        <v>早上</v>
      </c>
    </row>
    <row r="20" spans="1:10" ht="17.25">
      <c r="A20" s="1">
        <v>2026</v>
      </c>
      <c r="B20" s="2">
        <v>46039</v>
      </c>
      <c r="C20" s="11">
        <f t="shared" si="1"/>
        <v>3</v>
      </c>
      <c r="D20" s="3">
        <v>0.83333333333333337</v>
      </c>
      <c r="E20" s="3">
        <v>0.91666666666666663</v>
      </c>
      <c r="F20" s="1" t="s">
        <v>7</v>
      </c>
      <c r="G20" s="1">
        <v>41.25</v>
      </c>
      <c r="H20" s="6">
        <f t="shared" si="10"/>
        <v>1.9999999999999982</v>
      </c>
      <c r="I20" s="5" t="str">
        <f t="shared" si="9"/>
        <v>晚上</v>
      </c>
      <c r="J20" t="s">
        <v>47</v>
      </c>
    </row>
    <row r="21" spans="1:10">
      <c r="A21" s="1">
        <v>2026</v>
      </c>
      <c r="B21" s="2">
        <v>46040</v>
      </c>
      <c r="C21" s="6">
        <f t="shared" si="1"/>
        <v>3</v>
      </c>
      <c r="D21" s="3">
        <v>0.79166666666666663</v>
      </c>
      <c r="E21" s="3">
        <v>0.875</v>
      </c>
      <c r="F21" s="1" t="s">
        <v>3</v>
      </c>
      <c r="G21" s="1">
        <v>49.17</v>
      </c>
      <c r="H21" s="6">
        <f t="shared" si="10"/>
        <v>2.0000000000000009</v>
      </c>
      <c r="I21" s="5" t="str">
        <f t="shared" si="9"/>
        <v>晚上</v>
      </c>
    </row>
    <row r="22" spans="1:10" ht="18">
      <c r="A22" s="22">
        <v>2026</v>
      </c>
      <c r="B22" s="23">
        <v>46042</v>
      </c>
      <c r="C22" s="24">
        <f t="shared" si="1"/>
        <v>4</v>
      </c>
      <c r="D22" s="25">
        <v>0.29166666666666669</v>
      </c>
      <c r="E22" s="25">
        <v>0.375</v>
      </c>
      <c r="F22" s="22" t="s">
        <v>6</v>
      </c>
      <c r="G22" s="22">
        <v>170</v>
      </c>
      <c r="H22" s="26">
        <f t="shared" si="10"/>
        <v>1.9999999999999996</v>
      </c>
      <c r="I22" s="27" t="str">
        <f t="shared" si="9"/>
        <v>早上</v>
      </c>
      <c r="J22" s="28" t="s">
        <v>49</v>
      </c>
    </row>
    <row r="23" spans="1:10">
      <c r="A23" s="1">
        <v>2026</v>
      </c>
      <c r="B23" s="2">
        <v>46042</v>
      </c>
      <c r="C23" s="6">
        <f t="shared" si="1"/>
        <v>4</v>
      </c>
      <c r="D23" s="3">
        <v>0.875</v>
      </c>
      <c r="E23" s="3">
        <v>0.91666666666666663</v>
      </c>
      <c r="F23" s="1" t="s">
        <v>3</v>
      </c>
      <c r="G23" s="1">
        <v>39</v>
      </c>
      <c r="H23" s="6">
        <f t="shared" si="10"/>
        <v>0.99999999999999911</v>
      </c>
      <c r="I23" s="5" t="str">
        <f t="shared" si="9"/>
        <v>晚上</v>
      </c>
    </row>
    <row r="24" spans="1:10" ht="17.25">
      <c r="A24" s="1">
        <v>2026</v>
      </c>
      <c r="B24" s="2">
        <v>46045</v>
      </c>
      <c r="C24" s="11">
        <f t="shared" si="1"/>
        <v>4</v>
      </c>
      <c r="D24" s="3">
        <v>0.875</v>
      </c>
      <c r="E24" s="3">
        <v>0.91666666666666663</v>
      </c>
      <c r="F24" s="1" t="s">
        <v>3</v>
      </c>
      <c r="G24" s="1">
        <v>44.22</v>
      </c>
      <c r="H24" s="6">
        <f t="shared" si="10"/>
        <v>0.99999999999999911</v>
      </c>
      <c r="I24" s="5" t="str">
        <f t="shared" si="9"/>
        <v>晚上</v>
      </c>
    </row>
    <row r="25" spans="1:10">
      <c r="A25" s="1">
        <v>2026</v>
      </c>
      <c r="B25" s="2">
        <v>46046</v>
      </c>
      <c r="C25" s="6">
        <f t="shared" si="1"/>
        <v>4</v>
      </c>
      <c r="D25" s="3">
        <v>0.83333333333333337</v>
      </c>
      <c r="E25" s="3">
        <v>0.91666666666666663</v>
      </c>
      <c r="F25" s="1" t="s">
        <v>3</v>
      </c>
      <c r="G25" s="1">
        <v>45.01</v>
      </c>
      <c r="H25" s="6">
        <f t="shared" si="10"/>
        <v>1.9999999999999982</v>
      </c>
      <c r="I25" s="5" t="str">
        <f t="shared" si="9"/>
        <v>晚上</v>
      </c>
      <c r="J25" t="s">
        <v>53</v>
      </c>
    </row>
    <row r="26" spans="1:10" ht="17.25">
      <c r="A26" s="1">
        <v>2026</v>
      </c>
      <c r="B26" s="2">
        <v>46053</v>
      </c>
      <c r="C26" s="11">
        <f t="shared" si="1"/>
        <v>5</v>
      </c>
      <c r="D26" s="3">
        <v>0.79166666666666663</v>
      </c>
      <c r="E26" s="3">
        <v>0.875</v>
      </c>
      <c r="F26" s="1" t="s">
        <v>41</v>
      </c>
      <c r="G26" s="1">
        <v>60.51</v>
      </c>
      <c r="H26" s="6">
        <f t="shared" si="10"/>
        <v>2.0000000000000009</v>
      </c>
      <c r="I26" s="5" t="str">
        <f t="shared" si="9"/>
        <v>晚上</v>
      </c>
      <c r="J26" t="s">
        <v>54</v>
      </c>
    </row>
    <row r="27" spans="1:10">
      <c r="A27" s="1">
        <v>2026</v>
      </c>
      <c r="B27" s="2">
        <v>46059</v>
      </c>
      <c r="C27" s="6">
        <f t="shared" si="1"/>
        <v>6</v>
      </c>
      <c r="D27" s="3">
        <v>0.875</v>
      </c>
      <c r="E27" s="3">
        <v>0.91666666666666663</v>
      </c>
      <c r="F27" s="1" t="s">
        <v>3</v>
      </c>
      <c r="G27" s="1">
        <v>15.5</v>
      </c>
      <c r="H27" s="6">
        <f t="shared" si="10"/>
        <v>0.99999999999999911</v>
      </c>
      <c r="I27" s="5" t="str">
        <f t="shared" si="9"/>
        <v>晚上</v>
      </c>
      <c r="J27" t="s">
        <v>56</v>
      </c>
    </row>
    <row r="28" spans="1:10" ht="17.25">
      <c r="A28" s="1">
        <v>2026</v>
      </c>
      <c r="B28" s="2">
        <v>46060</v>
      </c>
      <c r="C28" s="11">
        <f t="shared" si="1"/>
        <v>6</v>
      </c>
      <c r="D28" s="3">
        <v>0.66666666666666663</v>
      </c>
      <c r="E28" s="3">
        <v>0.75</v>
      </c>
      <c r="F28" s="1" t="s">
        <v>7</v>
      </c>
      <c r="G28" s="1">
        <v>22.5</v>
      </c>
      <c r="H28" s="6">
        <f t="shared" si="10"/>
        <v>2.0000000000000009</v>
      </c>
      <c r="I28" s="5" t="str">
        <f t="shared" si="9"/>
        <v>下午</v>
      </c>
      <c r="J28" t="s">
        <v>57</v>
      </c>
    </row>
    <row r="29" spans="1:10">
      <c r="A29" s="1">
        <v>2026</v>
      </c>
      <c r="C29" s="6">
        <f t="shared" si="1"/>
        <v>1</v>
      </c>
      <c r="H29" s="6">
        <f t="shared" si="10"/>
        <v>0</v>
      </c>
      <c r="I29" s="5" t="str">
        <f t="shared" si="9"/>
        <v>Null</v>
      </c>
    </row>
    <row r="30" spans="1:10" ht="17.25">
      <c r="A30" s="1">
        <v>2026</v>
      </c>
      <c r="C30" s="11">
        <f t="shared" si="1"/>
        <v>1</v>
      </c>
      <c r="H30" s="6">
        <f t="shared" si="10"/>
        <v>0</v>
      </c>
      <c r="I30" s="5" t="str">
        <f t="shared" si="9"/>
        <v>Null</v>
      </c>
    </row>
    <row r="31" spans="1:10">
      <c r="A31" s="1">
        <v>2026</v>
      </c>
    </row>
    <row r="32" spans="1:10">
      <c r="A32" s="1">
        <v>2026</v>
      </c>
    </row>
    <row r="33" spans="1:8">
      <c r="A33" s="1">
        <v>2026</v>
      </c>
      <c r="G33" s="1">
        <f>SUM(G14:G28)</f>
        <v>683.35</v>
      </c>
      <c r="H33" s="6">
        <f>SUM(H14:H30)</f>
        <v>27.999999999999993</v>
      </c>
    </row>
    <row r="34" spans="1:8">
      <c r="A34" s="1">
        <v>2026</v>
      </c>
    </row>
    <row r="35" spans="1:8">
      <c r="A35" s="1">
        <v>2026</v>
      </c>
    </row>
    <row r="36" spans="1:8">
      <c r="A36" s="1">
        <v>2026</v>
      </c>
    </row>
  </sheetData>
  <mergeCells count="1">
    <mergeCell ref="D1:E1"/>
  </mergeCells>
  <phoneticPr fontId="1" type="noConversion"/>
  <conditionalFormatting sqref="J1:J1048576">
    <cfRule type="containsText" dxfId="0" priority="1" operator="containsText" text="断线">
      <formula>NOT(ISERROR(SEARCH("断线",J1)))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年合计</vt:lpstr>
      <vt:lpstr>运动数据合计</vt:lpstr>
      <vt:lpstr>周运动数据统计</vt:lpstr>
      <vt:lpstr>装备明细</vt:lpstr>
      <vt:lpstr>运动日明细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Jinge Ma</dc:creator>
  <cp:lastModifiedBy>Jinge Ma</cp:lastModifiedBy>
  <dcterms:created xsi:type="dcterms:W3CDTF">2025-12-10T10:05:56Z</dcterms:created>
  <dcterms:modified xsi:type="dcterms:W3CDTF">2026-02-07T17:05:57Z</dcterms:modified>
</cp:coreProperties>
</file>